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nstructions" sheetId="1" state="visible" r:id="rId3"/>
    <sheet name="Dashboard" sheetId="2" state="visible" r:id="rId4"/>
    <sheet name="Analysis" sheetId="3" state="visible" r:id="rId5"/>
    <sheet name="Data" sheetId="4" state="visible" r:id="rId6"/>
    <sheet name="Lists" sheetId="5" state="visible" r:id="rId7"/>
  </sheets>
  <definedNames>
    <definedName function="false" hidden="true" localSheetId="3" name="_xlnm._FilterDatabase" vbProcedure="false">Data!$A$1:$N$401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<sst xmlns="http://schemas.openxmlformats.org/spreadsheetml/2006/main" count="1331" uniqueCount="487">
  <si>
    <t xml:space="preserve">Sales Performance Dashboard</t>
  </si>
  <si>
    <t xml:space="preserve">A complete Excel reporting project: raw data, lookup tables, analysis layer and an interactive dashboard.</t>
  </si>
  <si>
    <t xml:space="preserve">Sheet</t>
  </si>
  <si>
    <t xml:space="preserve">What it does</t>
  </si>
  <si>
    <t xml:space="preserve">Dashboard</t>
  </si>
  <si>
    <t xml:space="preserve">KPIs, insights and charts. Use the region dropdown (yellow cell) to filter the monthly, product and category views.</t>
  </si>
  <si>
    <t xml:space="preserve">Analysis</t>
  </si>
  <si>
    <t xml:space="preserve">All the SUMIFS / COUNTIFS summary tables that feed the dashboard charts.</t>
  </si>
  <si>
    <t xml:space="preserve">Data</t>
  </si>
  <si>
    <t xml:space="preserve">400 sample orders. Blue columns are inputs; black columns are formulas (lookups, revenue, cost, profit).</t>
  </si>
  <si>
    <t xml:space="preserve">Lists</t>
  </si>
  <si>
    <t xml:space="preserve">Product prices and costs, salespeople with region and annual target, and the reporting start month.</t>
  </si>
  <si>
    <t xml:space="preserve">How to use</t>
  </si>
  <si>
    <t xml:space="preserve">1. Add new orders at the bottom of the Data sheet: fill the blue columns A-F, then copy the formulas in G-N down (summary ranges cover rows 2-2000).</t>
  </si>
  <si>
    <t xml:space="preserve">2. Change prices, costs, targets or the start month on the Lists sheet; everything recalculates.</t>
  </si>
  <si>
    <t xml:space="preserve">3. Pick a region on the Dashboard (cell C4) to filter the KPIs and charts. 'All' shows the whole business.</t>
  </si>
  <si>
    <t xml:space="preserve">4. Colour code: blue text = input you can change, black = formula, green = link from another sheet, yellow fill = control cell.</t>
  </si>
  <si>
    <t xml:space="preserve">Assumptions &amp; notes</t>
  </si>
  <si>
    <t xml:space="preserve">All orders, prices, costs and targets are generated sample data for demonstration (not real figures). Replace them with your own.</t>
  </si>
  <si>
    <t xml:space="preserve">Revenue = Qty x Unit Price x (1 - Discount). Cost = Qty x Unit Cost. Profit = Revenue - Cost. Currency shown in $.</t>
  </si>
  <si>
    <t xml:space="preserve">Targets on the Lists sheet are annual per salesperson and are compared to revenue over the 12 months shown.</t>
  </si>
  <si>
    <t xml:space="preserve">Region</t>
  </si>
  <si>
    <t xml:space="preserve">All</t>
  </si>
  <si>
    <t xml:space="preserve">&lt;- pick All, North, South, East or West</t>
  </si>
  <si>
    <t xml:space="preserve">Revenue</t>
  </si>
  <si>
    <t xml:space="preserve">Profit</t>
  </si>
  <si>
    <t xml:space="preserve">Profit margin</t>
  </si>
  <si>
    <t xml:space="preserve">Orders</t>
  </si>
  <si>
    <t xml:space="preserve">Avg order value</t>
  </si>
  <si>
    <t xml:space="preserve">Units sold</t>
  </si>
  <si>
    <t xml:space="preserve">Key insights</t>
  </si>
  <si>
    <t xml:space="preserve">Analysis tables</t>
  </si>
  <si>
    <t xml:space="preserve">Region filter (from Dashboard)</t>
  </si>
  <si>
    <t xml:space="preserve">Criteria used</t>
  </si>
  <si>
    <t xml:space="preserve">Monthly trend (filtered by region)</t>
  </si>
  <si>
    <t xml:space="preserve">By region (all regions)</t>
  </si>
  <si>
    <t xml:space="preserve">Month</t>
  </si>
  <si>
    <t xml:space="preserve">Margin</t>
  </si>
  <si>
    <t xml:space="preserve">Share</t>
  </si>
  <si>
    <t xml:space="preserve">Total</t>
  </si>
  <si>
    <t xml:space="preserve">By product (filtered by region)</t>
  </si>
  <si>
    <t xml:space="preserve">By category (filtered by region)</t>
  </si>
  <si>
    <t xml:space="preserve">Product</t>
  </si>
  <si>
    <t xml:space="preserve">Units</t>
  </si>
  <si>
    <t xml:space="preserve">Category</t>
  </si>
  <si>
    <t xml:space="preserve">Computers</t>
  </si>
  <si>
    <t xml:space="preserve">Displays</t>
  </si>
  <si>
    <t xml:space="preserve">Accessories</t>
  </si>
  <si>
    <t xml:space="preserve">Audio</t>
  </si>
  <si>
    <t xml:space="preserve">Salesperson vs annual target (all regions)</t>
  </si>
  <si>
    <t xml:space="preserve">Salesperson</t>
  </si>
  <si>
    <t xml:space="preserve">Target</t>
  </si>
  <si>
    <t xml:space="preserve">Attainment</t>
  </si>
  <si>
    <t xml:space="preserve">Order ID</t>
  </si>
  <si>
    <t xml:space="preserve">Date</t>
  </si>
  <si>
    <t xml:space="preserve">Qty</t>
  </si>
  <si>
    <t xml:space="preserve">Discount %</t>
  </si>
  <si>
    <t xml:space="preserve">Unit Price</t>
  </si>
  <si>
    <t xml:space="preserve">Unit Cost</t>
  </si>
  <si>
    <t xml:space="preserve">Cost</t>
  </si>
  <si>
    <t xml:space="preserve">ORD-0001</t>
  </si>
  <si>
    <t xml:space="preserve">Daniel Ortiz</t>
  </si>
  <si>
    <t xml:space="preserve">Laptop Air</t>
  </si>
  <si>
    <t xml:space="preserve">ORD-0002</t>
  </si>
  <si>
    <t xml:space="preserve">Farid Haddad</t>
  </si>
  <si>
    <t xml:space="preserve">Docking Station</t>
  </si>
  <si>
    <t xml:space="preserve">ORD-0003</t>
  </si>
  <si>
    <t xml:space="preserve">Keyboard</t>
  </si>
  <si>
    <t xml:space="preserve">ORD-0004</t>
  </si>
  <si>
    <t xml:space="preserve">Emma Walsh</t>
  </si>
  <si>
    <t xml:space="preserve">Monitor 27"</t>
  </si>
  <si>
    <t xml:space="preserve">ORD-0005</t>
  </si>
  <si>
    <t xml:space="preserve">Mouse</t>
  </si>
  <si>
    <t xml:space="preserve">ORD-0006</t>
  </si>
  <si>
    <t xml:space="preserve">Chloe Nguyen</t>
  </si>
  <si>
    <t xml:space="preserve">Webcam</t>
  </si>
  <si>
    <t xml:space="preserve">ORD-0007</t>
  </si>
  <si>
    <t xml:space="preserve">ORD-0008</t>
  </si>
  <si>
    <t xml:space="preserve">ORD-0009</t>
  </si>
  <si>
    <t xml:space="preserve">ORD-0010</t>
  </si>
  <si>
    <t xml:space="preserve">Laptop Pro</t>
  </si>
  <si>
    <t xml:space="preserve">ORD-0011</t>
  </si>
  <si>
    <t xml:space="preserve">ORD-0012</t>
  </si>
  <si>
    <t xml:space="preserve">Hugo Martin</t>
  </si>
  <si>
    <t xml:space="preserve">ORD-0013</t>
  </si>
  <si>
    <t xml:space="preserve">ORD-0014</t>
  </si>
  <si>
    <t xml:space="preserve">Aisha Khan</t>
  </si>
  <si>
    <t xml:space="preserve">ORD-0015</t>
  </si>
  <si>
    <t xml:space="preserve">Ben Carter</t>
  </si>
  <si>
    <t xml:space="preserve">ORD-0016</t>
  </si>
  <si>
    <t xml:space="preserve">ORD-0017</t>
  </si>
  <si>
    <t xml:space="preserve">Headset</t>
  </si>
  <si>
    <t xml:space="preserve">ORD-0018</t>
  </si>
  <si>
    <t xml:space="preserve">Grace Liu</t>
  </si>
  <si>
    <t xml:space="preserve">ORD-0019</t>
  </si>
  <si>
    <t xml:space="preserve">ORD-0020</t>
  </si>
  <si>
    <t xml:space="preserve">ORD-0021</t>
  </si>
  <si>
    <t xml:space="preserve">ORD-0022</t>
  </si>
  <si>
    <t xml:space="preserve">ORD-0023</t>
  </si>
  <si>
    <t xml:space="preserve">ORD-0024</t>
  </si>
  <si>
    <t xml:space="preserve">ORD-0025</t>
  </si>
  <si>
    <t xml:space="preserve">ORD-0026</t>
  </si>
  <si>
    <t xml:space="preserve">ORD-0027</t>
  </si>
  <si>
    <t xml:space="preserve">ORD-0028</t>
  </si>
  <si>
    <t xml:space="preserve">ORD-0029</t>
  </si>
  <si>
    <t xml:space="preserve">ORD-0030</t>
  </si>
  <si>
    <t xml:space="preserve">ORD-0031</t>
  </si>
  <si>
    <t xml:space="preserve">ORD-0032</t>
  </si>
  <si>
    <t xml:space="preserve">ORD-0033</t>
  </si>
  <si>
    <t xml:space="preserve">ORD-0034</t>
  </si>
  <si>
    <t xml:space="preserve">ORD-0035</t>
  </si>
  <si>
    <t xml:space="preserve">ORD-0036</t>
  </si>
  <si>
    <t xml:space="preserve">ORD-0037</t>
  </si>
  <si>
    <t xml:space="preserve">ORD-0038</t>
  </si>
  <si>
    <t xml:space="preserve">ORD-0039</t>
  </si>
  <si>
    <t xml:space="preserve">ORD-0040</t>
  </si>
  <si>
    <t xml:space="preserve">ORD-0041</t>
  </si>
  <si>
    <t xml:space="preserve">ORD-0042</t>
  </si>
  <si>
    <t xml:space="preserve">ORD-0043</t>
  </si>
  <si>
    <t xml:space="preserve">ORD-0044</t>
  </si>
  <si>
    <t xml:space="preserve">ORD-0045</t>
  </si>
  <si>
    <t xml:space="preserve">ORD-0046</t>
  </si>
  <si>
    <t xml:space="preserve">ORD-0047</t>
  </si>
  <si>
    <t xml:space="preserve">ORD-0048</t>
  </si>
  <si>
    <t xml:space="preserve">ORD-0049</t>
  </si>
  <si>
    <t xml:space="preserve">ORD-0050</t>
  </si>
  <si>
    <t xml:space="preserve">ORD-0051</t>
  </si>
  <si>
    <t xml:space="preserve">ORD-0052</t>
  </si>
  <si>
    <t xml:space="preserve">ORD-0053</t>
  </si>
  <si>
    <t xml:space="preserve">ORD-0054</t>
  </si>
  <si>
    <t xml:space="preserve">ORD-0055</t>
  </si>
  <si>
    <t xml:space="preserve">ORD-0056</t>
  </si>
  <si>
    <t xml:space="preserve">ORD-0057</t>
  </si>
  <si>
    <t xml:space="preserve">ORD-0058</t>
  </si>
  <si>
    <t xml:space="preserve">ORD-0059</t>
  </si>
  <si>
    <t xml:space="preserve">ORD-0060</t>
  </si>
  <si>
    <t xml:space="preserve">ORD-0061</t>
  </si>
  <si>
    <t xml:space="preserve">ORD-0062</t>
  </si>
  <si>
    <t xml:space="preserve">ORD-0063</t>
  </si>
  <si>
    <t xml:space="preserve">ORD-0064</t>
  </si>
  <si>
    <t xml:space="preserve">ORD-0065</t>
  </si>
  <si>
    <t xml:space="preserve">ORD-0066</t>
  </si>
  <si>
    <t xml:space="preserve">ORD-0067</t>
  </si>
  <si>
    <t xml:space="preserve">ORD-0068</t>
  </si>
  <si>
    <t xml:space="preserve">ORD-0069</t>
  </si>
  <si>
    <t xml:space="preserve">ORD-0070</t>
  </si>
  <si>
    <t xml:space="preserve">ORD-0071</t>
  </si>
  <si>
    <t xml:space="preserve">ORD-0072</t>
  </si>
  <si>
    <t xml:space="preserve">ORD-0073</t>
  </si>
  <si>
    <t xml:space="preserve">ORD-0074</t>
  </si>
  <si>
    <t xml:space="preserve">ORD-0075</t>
  </si>
  <si>
    <t xml:space="preserve">ORD-0076</t>
  </si>
  <si>
    <t xml:space="preserve">ORD-0077</t>
  </si>
  <si>
    <t xml:space="preserve">ORD-0078</t>
  </si>
  <si>
    <t xml:space="preserve">ORD-0079</t>
  </si>
  <si>
    <t xml:space="preserve">ORD-0080</t>
  </si>
  <si>
    <t xml:space="preserve">ORD-0081</t>
  </si>
  <si>
    <t xml:space="preserve">ORD-0082</t>
  </si>
  <si>
    <t xml:space="preserve">ORD-0083</t>
  </si>
  <si>
    <t xml:space="preserve">ORD-0084</t>
  </si>
  <si>
    <t xml:space="preserve">ORD-0085</t>
  </si>
  <si>
    <t xml:space="preserve">ORD-0086</t>
  </si>
  <si>
    <t xml:space="preserve">ORD-0087</t>
  </si>
  <si>
    <t xml:space="preserve">ORD-0088</t>
  </si>
  <si>
    <t xml:space="preserve">ORD-0089</t>
  </si>
  <si>
    <t xml:space="preserve">ORD-0090</t>
  </si>
  <si>
    <t xml:space="preserve">ORD-0091</t>
  </si>
  <si>
    <t xml:space="preserve">ORD-0092</t>
  </si>
  <si>
    <t xml:space="preserve">ORD-0093</t>
  </si>
  <si>
    <t xml:space="preserve">ORD-0094</t>
  </si>
  <si>
    <t xml:space="preserve">ORD-0095</t>
  </si>
  <si>
    <t xml:space="preserve">ORD-0096</t>
  </si>
  <si>
    <t xml:space="preserve">ORD-0097</t>
  </si>
  <si>
    <t xml:space="preserve">ORD-0098</t>
  </si>
  <si>
    <t xml:space="preserve">ORD-0099</t>
  </si>
  <si>
    <t xml:space="preserve">ORD-0100</t>
  </si>
  <si>
    <t xml:space="preserve">ORD-0101</t>
  </si>
  <si>
    <t xml:space="preserve">ORD-0102</t>
  </si>
  <si>
    <t xml:space="preserve">ORD-0103</t>
  </si>
  <si>
    <t xml:space="preserve">ORD-0104</t>
  </si>
  <si>
    <t xml:space="preserve">ORD-0105</t>
  </si>
  <si>
    <t xml:space="preserve">ORD-0106</t>
  </si>
  <si>
    <t xml:space="preserve">ORD-0107</t>
  </si>
  <si>
    <t xml:space="preserve">ORD-0108</t>
  </si>
  <si>
    <t xml:space="preserve">ORD-0109</t>
  </si>
  <si>
    <t xml:space="preserve">ORD-0110</t>
  </si>
  <si>
    <t xml:space="preserve">ORD-0111</t>
  </si>
  <si>
    <t xml:space="preserve">ORD-0112</t>
  </si>
  <si>
    <t xml:space="preserve">ORD-0113</t>
  </si>
  <si>
    <t xml:space="preserve">ORD-0114</t>
  </si>
  <si>
    <t xml:space="preserve">ORD-0115</t>
  </si>
  <si>
    <t xml:space="preserve">ORD-0116</t>
  </si>
  <si>
    <t xml:space="preserve">ORD-0117</t>
  </si>
  <si>
    <t xml:space="preserve">ORD-0118</t>
  </si>
  <si>
    <t xml:space="preserve">ORD-0119</t>
  </si>
  <si>
    <t xml:space="preserve">ORD-0120</t>
  </si>
  <si>
    <t xml:space="preserve">ORD-0121</t>
  </si>
  <si>
    <t xml:space="preserve">ORD-0122</t>
  </si>
  <si>
    <t xml:space="preserve">ORD-0123</t>
  </si>
  <si>
    <t xml:space="preserve">ORD-0124</t>
  </si>
  <si>
    <t xml:space="preserve">ORD-0125</t>
  </si>
  <si>
    <t xml:space="preserve">ORD-0126</t>
  </si>
  <si>
    <t xml:space="preserve">ORD-0127</t>
  </si>
  <si>
    <t xml:space="preserve">ORD-0128</t>
  </si>
  <si>
    <t xml:space="preserve">ORD-0129</t>
  </si>
  <si>
    <t xml:space="preserve">ORD-0130</t>
  </si>
  <si>
    <t xml:space="preserve">ORD-0131</t>
  </si>
  <si>
    <t xml:space="preserve">ORD-0132</t>
  </si>
  <si>
    <t xml:space="preserve">ORD-0133</t>
  </si>
  <si>
    <t xml:space="preserve">ORD-0134</t>
  </si>
  <si>
    <t xml:space="preserve">ORD-0135</t>
  </si>
  <si>
    <t xml:space="preserve">ORD-0136</t>
  </si>
  <si>
    <t xml:space="preserve">ORD-0137</t>
  </si>
  <si>
    <t xml:space="preserve">ORD-0138</t>
  </si>
  <si>
    <t xml:space="preserve">ORD-0139</t>
  </si>
  <si>
    <t xml:space="preserve">ORD-0140</t>
  </si>
  <si>
    <t xml:space="preserve">ORD-0141</t>
  </si>
  <si>
    <t xml:space="preserve">ORD-0142</t>
  </si>
  <si>
    <t xml:space="preserve">ORD-0143</t>
  </si>
  <si>
    <t xml:space="preserve">ORD-0144</t>
  </si>
  <si>
    <t xml:space="preserve">ORD-0145</t>
  </si>
  <si>
    <t xml:space="preserve">ORD-0146</t>
  </si>
  <si>
    <t xml:space="preserve">ORD-0147</t>
  </si>
  <si>
    <t xml:space="preserve">ORD-0148</t>
  </si>
  <si>
    <t xml:space="preserve">ORD-0149</t>
  </si>
  <si>
    <t xml:space="preserve">ORD-0150</t>
  </si>
  <si>
    <t xml:space="preserve">ORD-0151</t>
  </si>
  <si>
    <t xml:space="preserve">ORD-0152</t>
  </si>
  <si>
    <t xml:space="preserve">ORD-0153</t>
  </si>
  <si>
    <t xml:space="preserve">ORD-0154</t>
  </si>
  <si>
    <t xml:space="preserve">ORD-0155</t>
  </si>
  <si>
    <t xml:space="preserve">ORD-0156</t>
  </si>
  <si>
    <t xml:space="preserve">ORD-0157</t>
  </si>
  <si>
    <t xml:space="preserve">ORD-0158</t>
  </si>
  <si>
    <t xml:space="preserve">ORD-0159</t>
  </si>
  <si>
    <t xml:space="preserve">ORD-0160</t>
  </si>
  <si>
    <t xml:space="preserve">ORD-0161</t>
  </si>
  <si>
    <t xml:space="preserve">ORD-0162</t>
  </si>
  <si>
    <t xml:space="preserve">ORD-0163</t>
  </si>
  <si>
    <t xml:space="preserve">ORD-0164</t>
  </si>
  <si>
    <t xml:space="preserve">ORD-0165</t>
  </si>
  <si>
    <t xml:space="preserve">ORD-0166</t>
  </si>
  <si>
    <t xml:space="preserve">ORD-0167</t>
  </si>
  <si>
    <t xml:space="preserve">ORD-0168</t>
  </si>
  <si>
    <t xml:space="preserve">ORD-0169</t>
  </si>
  <si>
    <t xml:space="preserve">ORD-0170</t>
  </si>
  <si>
    <t xml:space="preserve">ORD-0171</t>
  </si>
  <si>
    <t xml:space="preserve">ORD-0172</t>
  </si>
  <si>
    <t xml:space="preserve">ORD-0173</t>
  </si>
  <si>
    <t xml:space="preserve">ORD-0174</t>
  </si>
  <si>
    <t xml:space="preserve">ORD-0175</t>
  </si>
  <si>
    <t xml:space="preserve">ORD-0176</t>
  </si>
  <si>
    <t xml:space="preserve">ORD-0177</t>
  </si>
  <si>
    <t xml:space="preserve">ORD-0178</t>
  </si>
  <si>
    <t xml:space="preserve">ORD-0179</t>
  </si>
  <si>
    <t xml:space="preserve">ORD-0180</t>
  </si>
  <si>
    <t xml:space="preserve">ORD-0181</t>
  </si>
  <si>
    <t xml:space="preserve">ORD-0182</t>
  </si>
  <si>
    <t xml:space="preserve">ORD-0183</t>
  </si>
  <si>
    <t xml:space="preserve">ORD-0184</t>
  </si>
  <si>
    <t xml:space="preserve">ORD-0185</t>
  </si>
  <si>
    <t xml:space="preserve">ORD-0186</t>
  </si>
  <si>
    <t xml:space="preserve">ORD-0187</t>
  </si>
  <si>
    <t xml:space="preserve">ORD-0188</t>
  </si>
  <si>
    <t xml:space="preserve">ORD-0189</t>
  </si>
  <si>
    <t xml:space="preserve">ORD-0190</t>
  </si>
  <si>
    <t xml:space="preserve">ORD-0191</t>
  </si>
  <si>
    <t xml:space="preserve">ORD-0192</t>
  </si>
  <si>
    <t xml:space="preserve">ORD-0193</t>
  </si>
  <si>
    <t xml:space="preserve">ORD-0194</t>
  </si>
  <si>
    <t xml:space="preserve">ORD-0195</t>
  </si>
  <si>
    <t xml:space="preserve">ORD-0196</t>
  </si>
  <si>
    <t xml:space="preserve">ORD-0197</t>
  </si>
  <si>
    <t xml:space="preserve">ORD-0198</t>
  </si>
  <si>
    <t xml:space="preserve">ORD-0199</t>
  </si>
  <si>
    <t xml:space="preserve">ORD-0200</t>
  </si>
  <si>
    <t xml:space="preserve">ORD-0201</t>
  </si>
  <si>
    <t xml:space="preserve">ORD-0202</t>
  </si>
  <si>
    <t xml:space="preserve">ORD-0203</t>
  </si>
  <si>
    <t xml:space="preserve">ORD-0204</t>
  </si>
  <si>
    <t xml:space="preserve">ORD-0205</t>
  </si>
  <si>
    <t xml:space="preserve">ORD-0206</t>
  </si>
  <si>
    <t xml:space="preserve">ORD-0207</t>
  </si>
  <si>
    <t xml:space="preserve">ORD-0208</t>
  </si>
  <si>
    <t xml:space="preserve">ORD-0209</t>
  </si>
  <si>
    <t xml:space="preserve">ORD-0210</t>
  </si>
  <si>
    <t xml:space="preserve">ORD-0211</t>
  </si>
  <si>
    <t xml:space="preserve">ORD-0212</t>
  </si>
  <si>
    <t xml:space="preserve">ORD-0213</t>
  </si>
  <si>
    <t xml:space="preserve">ORD-0214</t>
  </si>
  <si>
    <t xml:space="preserve">ORD-0215</t>
  </si>
  <si>
    <t xml:space="preserve">ORD-0216</t>
  </si>
  <si>
    <t xml:space="preserve">ORD-0217</t>
  </si>
  <si>
    <t xml:space="preserve">ORD-0218</t>
  </si>
  <si>
    <t xml:space="preserve">ORD-0219</t>
  </si>
  <si>
    <t xml:space="preserve">ORD-0220</t>
  </si>
  <si>
    <t xml:space="preserve">ORD-0221</t>
  </si>
  <si>
    <t xml:space="preserve">ORD-0222</t>
  </si>
  <si>
    <t xml:space="preserve">ORD-0223</t>
  </si>
  <si>
    <t xml:space="preserve">ORD-0224</t>
  </si>
  <si>
    <t xml:space="preserve">ORD-0225</t>
  </si>
  <si>
    <t xml:space="preserve">ORD-0226</t>
  </si>
  <si>
    <t xml:space="preserve">ORD-0227</t>
  </si>
  <si>
    <t xml:space="preserve">ORD-0228</t>
  </si>
  <si>
    <t xml:space="preserve">ORD-0229</t>
  </si>
  <si>
    <t xml:space="preserve">ORD-0230</t>
  </si>
  <si>
    <t xml:space="preserve">ORD-0231</t>
  </si>
  <si>
    <t xml:space="preserve">ORD-0232</t>
  </si>
  <si>
    <t xml:space="preserve">ORD-0233</t>
  </si>
  <si>
    <t xml:space="preserve">ORD-0234</t>
  </si>
  <si>
    <t xml:space="preserve">ORD-0235</t>
  </si>
  <si>
    <t xml:space="preserve">ORD-0236</t>
  </si>
  <si>
    <t xml:space="preserve">ORD-0237</t>
  </si>
  <si>
    <t xml:space="preserve">ORD-0238</t>
  </si>
  <si>
    <t xml:space="preserve">ORD-0239</t>
  </si>
  <si>
    <t xml:space="preserve">ORD-0240</t>
  </si>
  <si>
    <t xml:space="preserve">ORD-0241</t>
  </si>
  <si>
    <t xml:space="preserve">ORD-0242</t>
  </si>
  <si>
    <t xml:space="preserve">ORD-0243</t>
  </si>
  <si>
    <t xml:space="preserve">ORD-0244</t>
  </si>
  <si>
    <t xml:space="preserve">ORD-0245</t>
  </si>
  <si>
    <t xml:space="preserve">ORD-0246</t>
  </si>
  <si>
    <t xml:space="preserve">ORD-0247</t>
  </si>
  <si>
    <t xml:space="preserve">ORD-0248</t>
  </si>
  <si>
    <t xml:space="preserve">ORD-0249</t>
  </si>
  <si>
    <t xml:space="preserve">ORD-0250</t>
  </si>
  <si>
    <t xml:space="preserve">ORD-0251</t>
  </si>
  <si>
    <t xml:space="preserve">ORD-0252</t>
  </si>
  <si>
    <t xml:space="preserve">ORD-0253</t>
  </si>
  <si>
    <t xml:space="preserve">ORD-0254</t>
  </si>
  <si>
    <t xml:space="preserve">ORD-0255</t>
  </si>
  <si>
    <t xml:space="preserve">ORD-0256</t>
  </si>
  <si>
    <t xml:space="preserve">ORD-0257</t>
  </si>
  <si>
    <t xml:space="preserve">ORD-0258</t>
  </si>
  <si>
    <t xml:space="preserve">ORD-0259</t>
  </si>
  <si>
    <t xml:space="preserve">ORD-0260</t>
  </si>
  <si>
    <t xml:space="preserve">ORD-0261</t>
  </si>
  <si>
    <t xml:space="preserve">ORD-0262</t>
  </si>
  <si>
    <t xml:space="preserve">ORD-0263</t>
  </si>
  <si>
    <t xml:space="preserve">ORD-0264</t>
  </si>
  <si>
    <t xml:space="preserve">ORD-0265</t>
  </si>
  <si>
    <t xml:space="preserve">ORD-0266</t>
  </si>
  <si>
    <t xml:space="preserve">ORD-0267</t>
  </si>
  <si>
    <t xml:space="preserve">ORD-0268</t>
  </si>
  <si>
    <t xml:space="preserve">ORD-0269</t>
  </si>
  <si>
    <t xml:space="preserve">ORD-0270</t>
  </si>
  <si>
    <t xml:space="preserve">ORD-0271</t>
  </si>
  <si>
    <t xml:space="preserve">ORD-0272</t>
  </si>
  <si>
    <t xml:space="preserve">ORD-0273</t>
  </si>
  <si>
    <t xml:space="preserve">ORD-0274</t>
  </si>
  <si>
    <t xml:space="preserve">ORD-0275</t>
  </si>
  <si>
    <t xml:space="preserve">ORD-0276</t>
  </si>
  <si>
    <t xml:space="preserve">ORD-0277</t>
  </si>
  <si>
    <t xml:space="preserve">ORD-0278</t>
  </si>
  <si>
    <t xml:space="preserve">ORD-0279</t>
  </si>
  <si>
    <t xml:space="preserve">ORD-0280</t>
  </si>
  <si>
    <t xml:space="preserve">ORD-0281</t>
  </si>
  <si>
    <t xml:space="preserve">ORD-0282</t>
  </si>
  <si>
    <t xml:space="preserve">ORD-0283</t>
  </si>
  <si>
    <t xml:space="preserve">ORD-0284</t>
  </si>
  <si>
    <t xml:space="preserve">ORD-0285</t>
  </si>
  <si>
    <t xml:space="preserve">ORD-0286</t>
  </si>
  <si>
    <t xml:space="preserve">ORD-0287</t>
  </si>
  <si>
    <t xml:space="preserve">ORD-0288</t>
  </si>
  <si>
    <t xml:space="preserve">ORD-0289</t>
  </si>
  <si>
    <t xml:space="preserve">ORD-0290</t>
  </si>
  <si>
    <t xml:space="preserve">ORD-0291</t>
  </si>
  <si>
    <t xml:space="preserve">ORD-0292</t>
  </si>
  <si>
    <t xml:space="preserve">ORD-0293</t>
  </si>
  <si>
    <t xml:space="preserve">ORD-0294</t>
  </si>
  <si>
    <t xml:space="preserve">ORD-0295</t>
  </si>
  <si>
    <t xml:space="preserve">ORD-0296</t>
  </si>
  <si>
    <t xml:space="preserve">ORD-0297</t>
  </si>
  <si>
    <t xml:space="preserve">ORD-0298</t>
  </si>
  <si>
    <t xml:space="preserve">ORD-0299</t>
  </si>
  <si>
    <t xml:space="preserve">ORD-0300</t>
  </si>
  <si>
    <t xml:space="preserve">ORD-0301</t>
  </si>
  <si>
    <t xml:space="preserve">ORD-0302</t>
  </si>
  <si>
    <t xml:space="preserve">ORD-0303</t>
  </si>
  <si>
    <t xml:space="preserve">ORD-0304</t>
  </si>
  <si>
    <t xml:space="preserve">ORD-0305</t>
  </si>
  <si>
    <t xml:space="preserve">ORD-0306</t>
  </si>
  <si>
    <t xml:space="preserve">ORD-0307</t>
  </si>
  <si>
    <t xml:space="preserve">ORD-0308</t>
  </si>
  <si>
    <t xml:space="preserve">ORD-0309</t>
  </si>
  <si>
    <t xml:space="preserve">ORD-0310</t>
  </si>
  <si>
    <t xml:space="preserve">ORD-0311</t>
  </si>
  <si>
    <t xml:space="preserve">ORD-0312</t>
  </si>
  <si>
    <t xml:space="preserve">ORD-0313</t>
  </si>
  <si>
    <t xml:space="preserve">ORD-0314</t>
  </si>
  <si>
    <t xml:space="preserve">ORD-0315</t>
  </si>
  <si>
    <t xml:space="preserve">ORD-0316</t>
  </si>
  <si>
    <t xml:space="preserve">ORD-0317</t>
  </si>
  <si>
    <t xml:space="preserve">ORD-0318</t>
  </si>
  <si>
    <t xml:space="preserve">ORD-0319</t>
  </si>
  <si>
    <t xml:space="preserve">ORD-0320</t>
  </si>
  <si>
    <t xml:space="preserve">ORD-0321</t>
  </si>
  <si>
    <t xml:space="preserve">ORD-0322</t>
  </si>
  <si>
    <t xml:space="preserve">ORD-0323</t>
  </si>
  <si>
    <t xml:space="preserve">ORD-0324</t>
  </si>
  <si>
    <t xml:space="preserve">ORD-0325</t>
  </si>
  <si>
    <t xml:space="preserve">ORD-0326</t>
  </si>
  <si>
    <t xml:space="preserve">ORD-0327</t>
  </si>
  <si>
    <t xml:space="preserve">ORD-0328</t>
  </si>
  <si>
    <t xml:space="preserve">ORD-0329</t>
  </si>
  <si>
    <t xml:space="preserve">ORD-0330</t>
  </si>
  <si>
    <t xml:space="preserve">ORD-0331</t>
  </si>
  <si>
    <t xml:space="preserve">ORD-0332</t>
  </si>
  <si>
    <t xml:space="preserve">ORD-0333</t>
  </si>
  <si>
    <t xml:space="preserve">ORD-0334</t>
  </si>
  <si>
    <t xml:space="preserve">ORD-0335</t>
  </si>
  <si>
    <t xml:space="preserve">ORD-0336</t>
  </si>
  <si>
    <t xml:space="preserve">ORD-0337</t>
  </si>
  <si>
    <t xml:space="preserve">ORD-0338</t>
  </si>
  <si>
    <t xml:space="preserve">ORD-0339</t>
  </si>
  <si>
    <t xml:space="preserve">ORD-0340</t>
  </si>
  <si>
    <t xml:space="preserve">ORD-0341</t>
  </si>
  <si>
    <t xml:space="preserve">ORD-0342</t>
  </si>
  <si>
    <t xml:space="preserve">ORD-0343</t>
  </si>
  <si>
    <t xml:space="preserve">ORD-0344</t>
  </si>
  <si>
    <t xml:space="preserve">ORD-0345</t>
  </si>
  <si>
    <t xml:space="preserve">ORD-0346</t>
  </si>
  <si>
    <t xml:space="preserve">ORD-0347</t>
  </si>
  <si>
    <t xml:space="preserve">ORD-0348</t>
  </si>
  <si>
    <t xml:space="preserve">ORD-0349</t>
  </si>
  <si>
    <t xml:space="preserve">ORD-0350</t>
  </si>
  <si>
    <t xml:space="preserve">ORD-0351</t>
  </si>
  <si>
    <t xml:space="preserve">ORD-0352</t>
  </si>
  <si>
    <t xml:space="preserve">ORD-0353</t>
  </si>
  <si>
    <t xml:space="preserve">ORD-0354</t>
  </si>
  <si>
    <t xml:space="preserve">ORD-0355</t>
  </si>
  <si>
    <t xml:space="preserve">ORD-0356</t>
  </si>
  <si>
    <t xml:space="preserve">ORD-0357</t>
  </si>
  <si>
    <t xml:space="preserve">ORD-0358</t>
  </si>
  <si>
    <t xml:space="preserve">ORD-0359</t>
  </si>
  <si>
    <t xml:space="preserve">ORD-0360</t>
  </si>
  <si>
    <t xml:space="preserve">ORD-0361</t>
  </si>
  <si>
    <t xml:space="preserve">ORD-0362</t>
  </si>
  <si>
    <t xml:space="preserve">ORD-0363</t>
  </si>
  <si>
    <t xml:space="preserve">ORD-0364</t>
  </si>
  <si>
    <t xml:space="preserve">ORD-0365</t>
  </si>
  <si>
    <t xml:space="preserve">ORD-0366</t>
  </si>
  <si>
    <t xml:space="preserve">ORD-0367</t>
  </si>
  <si>
    <t xml:space="preserve">ORD-0368</t>
  </si>
  <si>
    <t xml:space="preserve">ORD-0369</t>
  </si>
  <si>
    <t xml:space="preserve">ORD-0370</t>
  </si>
  <si>
    <t xml:space="preserve">ORD-0371</t>
  </si>
  <si>
    <t xml:space="preserve">ORD-0372</t>
  </si>
  <si>
    <t xml:space="preserve">ORD-0373</t>
  </si>
  <si>
    <t xml:space="preserve">ORD-0374</t>
  </si>
  <si>
    <t xml:space="preserve">ORD-0375</t>
  </si>
  <si>
    <t xml:space="preserve">ORD-0376</t>
  </si>
  <si>
    <t xml:space="preserve">ORD-0377</t>
  </si>
  <si>
    <t xml:space="preserve">ORD-0378</t>
  </si>
  <si>
    <t xml:space="preserve">ORD-0379</t>
  </si>
  <si>
    <t xml:space="preserve">ORD-0380</t>
  </si>
  <si>
    <t xml:space="preserve">ORD-0381</t>
  </si>
  <si>
    <t xml:space="preserve">ORD-0382</t>
  </si>
  <si>
    <t xml:space="preserve">ORD-0383</t>
  </si>
  <si>
    <t xml:space="preserve">ORD-0384</t>
  </si>
  <si>
    <t xml:space="preserve">ORD-0385</t>
  </si>
  <si>
    <t xml:space="preserve">ORD-0386</t>
  </si>
  <si>
    <t xml:space="preserve">ORD-0387</t>
  </si>
  <si>
    <t xml:space="preserve">ORD-0388</t>
  </si>
  <si>
    <t xml:space="preserve">ORD-0389</t>
  </si>
  <si>
    <t xml:space="preserve">ORD-0390</t>
  </si>
  <si>
    <t xml:space="preserve">ORD-0391</t>
  </si>
  <si>
    <t xml:space="preserve">ORD-0392</t>
  </si>
  <si>
    <t xml:space="preserve">ORD-0393</t>
  </si>
  <si>
    <t xml:space="preserve">ORD-0394</t>
  </si>
  <si>
    <t xml:space="preserve">ORD-0395</t>
  </si>
  <si>
    <t xml:space="preserve">ORD-0396</t>
  </si>
  <si>
    <t xml:space="preserve">ORD-0397</t>
  </si>
  <si>
    <t xml:space="preserve">ORD-0398</t>
  </si>
  <si>
    <t xml:space="preserve">ORD-0399</t>
  </si>
  <si>
    <t xml:space="preserve">ORD-0400</t>
  </si>
  <si>
    <t xml:space="preserve">Lookup tables &amp; settings</t>
  </si>
  <si>
    <t xml:space="preserve">Reporting start month</t>
  </si>
  <si>
    <t xml:space="preserve">First of 12 months shown (input)</t>
  </si>
  <si>
    <t xml:space="preserve">Unit Price ($)</t>
  </si>
  <si>
    <t xml:space="preserve">Unit Cost ($)</t>
  </si>
  <si>
    <t xml:space="preserve">Annual Target ($)</t>
  </si>
  <si>
    <t xml:space="preserve">Regions</t>
  </si>
  <si>
    <t xml:space="preserve">North</t>
  </si>
  <si>
    <t xml:space="preserve">South</t>
  </si>
  <si>
    <t xml:space="preserve">East</t>
  </si>
  <si>
    <t xml:space="preserve">West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</si>
</sst>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;&quot;($&quot;#,##0\);\-"/>
    <numFmt numFmtId="166" formatCode="0.0%;\(0.0%\);\-"/>
    <numFmt numFmtId="167" formatCode="#,##0;\(#,##0\);\-"/>
    <numFmt numFmtId="168" formatCode="\$#,##0"/>
    <numFmt numFmtId="169" formatCode="0%"/>
    <numFmt numFmtId="170" formatCode="mmm\ yy"/>
    <numFmt numFmtId="171" formatCode="dd\-mmm\-yyyy"/>
    <numFmt numFmtId="172" formatCode="mmm\ yyyy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A5F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1F3A5F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6"/>
      <color rgb="FF1F3A5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EAF2F8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B"/>
      </left>
      <right style="thin">
        <color rgb="FFD0D5DB"/>
      </right>
      <top style="thin">
        <color rgb="FFD0D5DB"/>
      </top>
      <bottom style="thin">
        <color rgb="FFD0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993366"/>
      <rgbColor rgb="FFFFFFCC"/>
      <rgbColor rgb="FFEAF2F8"/>
      <rgbColor rgb="FF660066"/>
      <rgbColor rgb="FFFF8080"/>
      <rgbColor rgb="FF0066CC"/>
      <rgbColor rgb="FFD0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A5F"/>
      <rgbColor rgb="FF2A9D8F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 and profit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Analysis!C5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1f3a5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Analysis!$A$6:$A$17</c:f>
              <c:strCache>
                <c:ptCount val="12"/>
                <c:pt idx="0">
                  <c:v>Oct 25</c:v>
                </c:pt>
                <c:pt idx="1">
                  <c:v>Nov 25</c:v>
                </c:pt>
                <c:pt idx="2">
                  <c:v>Dec 25</c:v>
                </c:pt>
                <c:pt idx="3">
                  <c:v>Jan 26</c:v>
                </c:pt>
                <c:pt idx="4">
                  <c:v>Feb 26</c:v>
                </c:pt>
                <c:pt idx="5">
                  <c:v>Mar 26</c:v>
                </c:pt>
                <c:pt idx="6">
                  <c:v>Apr 26</c:v>
                </c:pt>
                <c:pt idx="7">
                  <c:v>May 26</c:v>
                </c:pt>
                <c:pt idx="8">
                  <c:v>Jun 26</c:v>
                </c:pt>
                <c:pt idx="9">
                  <c:v>Jul 26</c:v>
                </c:pt>
                <c:pt idx="10">
                  <c:v>Aug 26</c:v>
                </c:pt>
                <c:pt idx="11">
                  <c:v>Sep 26</c:v>
                </c:pt>
              </c:strCache>
            </c:strRef>
          </c:cat>
          <c:val>
            <c:numRef>
              <c:f>Analysis!$C$6:$C$17</c:f>
              <c:numCache>
                <c:formatCode>\$#,##0;"($"#,##0\);\-</c:formatCode>
                <c:ptCount val="12"/>
                <c:pt idx="0">
                  <c:v>48234</c:v>
                </c:pt>
                <c:pt idx="1">
                  <c:v>59667.5</c:v>
                </c:pt>
                <c:pt idx="2">
                  <c:v>83737.5</c:v>
                </c:pt>
                <c:pt idx="3">
                  <c:v>71169</c:v>
                </c:pt>
                <c:pt idx="4">
                  <c:v>51020.5</c:v>
                </c:pt>
                <c:pt idx="5">
                  <c:v>58207</c:v>
                </c:pt>
                <c:pt idx="6">
                  <c:v>51774</c:v>
                </c:pt>
                <c:pt idx="7">
                  <c:v>75756</c:v>
                </c:pt>
                <c:pt idx="8">
                  <c:v>70280</c:v>
                </c:pt>
                <c:pt idx="9">
                  <c:v>77898.5</c:v>
                </c:pt>
                <c:pt idx="10">
                  <c:v>73205.5</c:v>
                </c:pt>
                <c:pt idx="11">
                  <c:v>57398</c:v>
                </c:pt>
              </c:numCache>
            </c:numRef>
          </c:val>
        </c:ser>
        <c:gapWidth val="150"/>
        <c:overlap val="0"/>
        <c:axId val="28865377"/>
        <c:axId val="5057403"/>
      </c:barChart>
      <c:lineChart>
        <c:grouping val="standard"/>
        <c:varyColors val="0"/>
        <c:ser>
          <c:idx val="1"/>
          <c:order val="1"/>
          <c:tx>
            <c:strRef>
              <c:f>Analysis!D5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2a9d8f"/>
            </a:solidFill>
            <a:ln w="28080">
              <a:solidFill>
                <a:srgbClr val="2a9d8f"/>
              </a:solidFill>
              <a:round/>
            </a:ln>
          </c:spPr>
          <c:marker>
            <c:symbol val="circle"/>
            <c:size val="5"/>
            <c:spPr>
              <a:solidFill>
                <a:srgbClr val="2a9d8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Analysis!$A$6:$A$17</c:f>
              <c:strCache>
                <c:ptCount val="12"/>
                <c:pt idx="0">
                  <c:v>Oct 25</c:v>
                </c:pt>
                <c:pt idx="1">
                  <c:v>Nov 25</c:v>
                </c:pt>
                <c:pt idx="2">
                  <c:v>Dec 25</c:v>
                </c:pt>
                <c:pt idx="3">
                  <c:v>Jan 26</c:v>
                </c:pt>
                <c:pt idx="4">
                  <c:v>Feb 26</c:v>
                </c:pt>
                <c:pt idx="5">
                  <c:v>Mar 26</c:v>
                </c:pt>
                <c:pt idx="6">
                  <c:v>Apr 26</c:v>
                </c:pt>
                <c:pt idx="7">
                  <c:v>May 26</c:v>
                </c:pt>
                <c:pt idx="8">
                  <c:v>Jun 26</c:v>
                </c:pt>
                <c:pt idx="9">
                  <c:v>Jul 26</c:v>
                </c:pt>
                <c:pt idx="10">
                  <c:v>Aug 26</c:v>
                </c:pt>
                <c:pt idx="11">
                  <c:v>Sep 26</c:v>
                </c:pt>
              </c:strCache>
            </c:strRef>
          </c:cat>
          <c:val>
            <c:numRef>
              <c:f>Analysis!$D$6:$D$17</c:f>
              <c:numCache>
                <c:formatCode>\$#,##0;"($"#,##0\);\-</c:formatCode>
                <c:ptCount val="12"/>
                <c:pt idx="0">
                  <c:v>17386</c:v>
                </c:pt>
                <c:pt idx="1">
                  <c:v>21500.5</c:v>
                </c:pt>
                <c:pt idx="2">
                  <c:v>31916.5</c:v>
                </c:pt>
                <c:pt idx="3">
                  <c:v>22164</c:v>
                </c:pt>
                <c:pt idx="4">
                  <c:v>16264.5</c:v>
                </c:pt>
                <c:pt idx="5">
                  <c:v>19804</c:v>
                </c:pt>
                <c:pt idx="6">
                  <c:v>17898</c:v>
                </c:pt>
                <c:pt idx="7">
                  <c:v>25964</c:v>
                </c:pt>
                <c:pt idx="8">
                  <c:v>25675</c:v>
                </c:pt>
                <c:pt idx="9">
                  <c:v>29451.5</c:v>
                </c:pt>
                <c:pt idx="10">
                  <c:v>28920.5</c:v>
                </c:pt>
                <c:pt idx="11">
                  <c:v>21806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28865377"/>
        <c:axId val="5057403"/>
      </c:lineChart>
      <c:catAx>
        <c:axId val="28865377"/>
        <c:scaling>
          <c:orientation val="minMax"/>
        </c:scaling>
        <c:delete val="0"/>
        <c:axPos val="b"/>
        <c:numFmt formatCode="mmm\ 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57403"/>
        <c:crosses val="autoZero"/>
        <c:auto val="1"/>
        <c:lblAlgn val="ctr"/>
        <c:lblOffset val="100"/>
        <c:noMultiLvlLbl val="0"/>
      </c:catAx>
      <c:valAx>
        <c:axId val="505740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86537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and profit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Analysis!H5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1f3a5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Analysis!$G$6:$G$9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Analysis!$H$6:$H$9</c:f>
              <c:numCache>
                <c:formatCode>\$#,##0;"($"#,##0\);\-</c:formatCode>
                <c:ptCount val="4"/>
                <c:pt idx="0">
                  <c:v>203546.5</c:v>
                </c:pt>
                <c:pt idx="1">
                  <c:v>165410</c:v>
                </c:pt>
                <c:pt idx="2">
                  <c:v>209896</c:v>
                </c:pt>
                <c:pt idx="3">
                  <c:v>199495</c:v>
                </c:pt>
              </c:numCache>
            </c:numRef>
          </c:val>
        </c:ser>
        <c:ser>
          <c:idx val="1"/>
          <c:order val="1"/>
          <c:tx>
            <c:strRef>
              <c:f>Analysis!I5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2a9d8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Analysis!$G$6:$G$9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Analysis!$I$6:$I$9</c:f>
              <c:numCache>
                <c:formatCode>\$#,##0;"($"#,##0\);\-</c:formatCode>
                <c:ptCount val="4"/>
                <c:pt idx="0">
                  <c:v>73868.5</c:v>
                </c:pt>
                <c:pt idx="1">
                  <c:v>56834</c:v>
                </c:pt>
                <c:pt idx="2">
                  <c:v>76358</c:v>
                </c:pt>
                <c:pt idx="3">
                  <c:v>71690</c:v>
                </c:pt>
              </c:numCache>
            </c:numRef>
          </c:val>
        </c:ser>
        <c:gapWidth val="150"/>
        <c:overlap val="0"/>
        <c:axId val="73286797"/>
        <c:axId val="34893098"/>
      </c:barChart>
      <c:catAx>
        <c:axId val="7328679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893098"/>
        <c:crosses val="autoZero"/>
        <c:auto val="1"/>
        <c:lblAlgn val="ctr"/>
        <c:lblOffset val="100"/>
        <c:noMultiLvlLbl val="0"/>
      </c:catAx>
      <c:valAx>
        <c:axId val="3489309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28679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product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Analysis!C22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2a9d8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Analysis!$A$23:$A$30</c:f>
              <c:strCache>
                <c:ptCount val="8"/>
                <c:pt idx="0">
                  <c:v>Laptop Pro</c:v>
                </c:pt>
                <c:pt idx="1">
                  <c:v>Laptop Air</c:v>
                </c:pt>
                <c:pt idx="2">
                  <c:v>Monitor 27"</c:v>
                </c:pt>
                <c:pt idx="3">
                  <c:v>Docking Station</c:v>
                </c:pt>
                <c:pt idx="4">
                  <c:v>Keyboard</c:v>
                </c:pt>
                <c:pt idx="5">
                  <c:v>Mouse</c:v>
                </c:pt>
                <c:pt idx="6">
                  <c:v>Headset</c:v>
                </c:pt>
                <c:pt idx="7">
                  <c:v>Webcam</c:v>
                </c:pt>
              </c:strCache>
            </c:strRef>
          </c:cat>
          <c:val>
            <c:numRef>
              <c:f>Analysis!$C$23:$C$30</c:f>
              <c:numCache>
                <c:formatCode>\$#,##0;"($"#,##0\);\-</c:formatCode>
                <c:ptCount val="8"/>
                <c:pt idx="0">
                  <c:v>151800</c:v>
                </c:pt>
                <c:pt idx="1">
                  <c:v>186080</c:v>
                </c:pt>
                <c:pt idx="2">
                  <c:v>108966</c:v>
                </c:pt>
                <c:pt idx="3">
                  <c:v>45162</c:v>
                </c:pt>
                <c:pt idx="4">
                  <c:v>108978</c:v>
                </c:pt>
                <c:pt idx="5">
                  <c:v>75828</c:v>
                </c:pt>
                <c:pt idx="6">
                  <c:v>67877.5</c:v>
                </c:pt>
                <c:pt idx="7">
                  <c:v>33656</c:v>
                </c:pt>
              </c:numCache>
            </c:numRef>
          </c:val>
        </c:ser>
        <c:gapWidth val="150"/>
        <c:overlap val="0"/>
        <c:axId val="52519469"/>
        <c:axId val="20305379"/>
      </c:barChart>
      <c:catAx>
        <c:axId val="5251946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305379"/>
        <c:crosses val="autoZero"/>
        <c:auto val="1"/>
        <c:lblAlgn val="ctr"/>
        <c:lblOffset val="100"/>
        <c:noMultiLvlLbl val="0"/>
      </c:catAx>
      <c:valAx>
        <c:axId val="2030537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51946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Target attainment by salesperson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Analysis!E34</c:f>
              <c:strCache>
                <c:ptCount val="1"/>
                <c:pt idx="0">
                  <c:v>Attainment</c:v>
                </c:pt>
              </c:strCache>
            </c:strRef>
          </c:tx>
          <c:spPr>
            <a:solidFill>
              <a:srgbClr val="1f3a5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Analysis!$A$35:$A$42</c:f>
              <c:strCache>
                <c:ptCount val="8"/>
                <c:pt idx="0">
                  <c:v>Aisha Khan</c:v>
                </c:pt>
                <c:pt idx="1">
                  <c:v>Ben Carter</c:v>
                </c:pt>
                <c:pt idx="2">
                  <c:v>Chloe Nguyen</c:v>
                </c:pt>
                <c:pt idx="3">
                  <c:v>Daniel Ortiz</c:v>
                </c:pt>
                <c:pt idx="4">
                  <c:v>Emma Walsh</c:v>
                </c:pt>
                <c:pt idx="5">
                  <c:v>Farid Haddad</c:v>
                </c:pt>
                <c:pt idx="6">
                  <c:v>Grace Liu</c:v>
                </c:pt>
                <c:pt idx="7">
                  <c:v>Hugo Martin</c:v>
                </c:pt>
              </c:strCache>
            </c:strRef>
          </c:cat>
          <c:val>
            <c:numRef>
              <c:f>Analysis!$E$35:$E$42</c:f>
              <c:numCache>
                <c:formatCode>0.0%;\(0.0%\);\-</c:formatCode>
                <c:ptCount val="8"/>
                <c:pt idx="0">
                  <c:v>0.833509523809524</c:v>
                </c:pt>
                <c:pt idx="1">
                  <c:v>1.2892</c:v>
                </c:pt>
                <c:pt idx="2">
                  <c:v>0.924895</c:v>
                </c:pt>
                <c:pt idx="3">
                  <c:v>0.857888235294118</c:v>
                </c:pt>
                <c:pt idx="4">
                  <c:v>0.987422727272727</c:v>
                </c:pt>
                <c:pt idx="5">
                  <c:v>1.0661</c:v>
                </c:pt>
                <c:pt idx="6">
                  <c:v>1.13998979591837</c:v>
                </c:pt>
                <c:pt idx="7">
                  <c:v>0.997454545454546</c:v>
                </c:pt>
              </c:numCache>
            </c:numRef>
          </c:val>
        </c:ser>
        <c:gapWidth val="150"/>
        <c:overlap val="0"/>
        <c:axId val="28976893"/>
        <c:axId val="17035685"/>
      </c:barChart>
      <c:catAx>
        <c:axId val="2897689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035685"/>
        <c:crosses val="autoZero"/>
        <c:auto val="1"/>
        <c:lblAlgn val="ctr"/>
        <c:lblOffset val="100"/>
        <c:noMultiLvlLbl val="0"/>
      </c:catAx>
      <c:valAx>
        <c:axId val="1703568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97689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14</xdr:row>
      <xdr:rowOff>100800</xdr:rowOff>
    </xdr:from>
    <xdr:to>
      <xdr:col>8</xdr:col>
      <xdr:colOff>443160</xdr:colOff>
      <xdr:row>30</xdr:row>
      <xdr:rowOff>112320</xdr:rowOff>
    </xdr:to>
    <xdr:graphicFrame>
      <xdr:nvGraphicFramePr>
        <xdr:cNvPr id="0" name="Chart 1"/>
        <xdr:cNvGraphicFramePr/>
      </xdr:nvGraphicFramePr>
      <xdr:xfrm>
        <a:off x="211320" y="312408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14</xdr:row>
      <xdr:rowOff>100800</xdr:rowOff>
    </xdr:from>
    <xdr:to>
      <xdr:col>14</xdr:col>
      <xdr:colOff>174240</xdr:colOff>
      <xdr:row>30</xdr:row>
      <xdr:rowOff>112320</xdr:rowOff>
    </xdr:to>
    <xdr:graphicFrame>
      <xdr:nvGraphicFramePr>
        <xdr:cNvPr id="1" name="Chart 2"/>
        <xdr:cNvGraphicFramePr/>
      </xdr:nvGraphicFramePr>
      <xdr:xfrm>
        <a:off x="5887800" y="3124080"/>
        <a:ext cx="503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32</xdr:row>
      <xdr:rowOff>100800</xdr:rowOff>
    </xdr:from>
    <xdr:to>
      <xdr:col>8</xdr:col>
      <xdr:colOff>443160</xdr:colOff>
      <xdr:row>48</xdr:row>
      <xdr:rowOff>112320</xdr:rowOff>
    </xdr:to>
    <xdr:graphicFrame>
      <xdr:nvGraphicFramePr>
        <xdr:cNvPr id="2" name="Chart 3"/>
        <xdr:cNvGraphicFramePr/>
      </xdr:nvGraphicFramePr>
      <xdr:xfrm>
        <a:off x="211320" y="655308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0</xdr:colOff>
      <xdr:row>32</xdr:row>
      <xdr:rowOff>100800</xdr:rowOff>
    </xdr:from>
    <xdr:to>
      <xdr:col>14</xdr:col>
      <xdr:colOff>174240</xdr:colOff>
      <xdr:row>48</xdr:row>
      <xdr:rowOff>112320</xdr:rowOff>
    </xdr:to>
    <xdr:graphicFrame>
      <xdr:nvGraphicFramePr>
        <xdr:cNvPr id="3" name="Chart 4"/>
        <xdr:cNvGraphicFramePr/>
      </xdr:nvGraphicFramePr>
      <xdr:xfrm>
        <a:off x="5887800" y="6553080"/>
        <a:ext cx="503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8"/>
    <col collapsed="false" customWidth="true" hidden="false" outlineLevel="0" max="3" min="3" style="0" width="95"/>
  </cols>
  <sheetData>
    <row r="2" customFormat="false" ht="22.0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3" t="s">
        <v>3</v>
      </c>
    </row>
    <row r="6" customFormat="false" ht="15" hidden="false" customHeight="false" outlineLevel="0" collapsed="false">
      <c r="B6" s="4" t="s">
        <v>4</v>
      </c>
      <c r="C6" s="5" t="s">
        <v>5</v>
      </c>
    </row>
    <row r="7" customFormat="false" ht="15" hidden="false" customHeight="false" outlineLevel="0" collapsed="false">
      <c r="B7" s="4" t="s">
        <v>6</v>
      </c>
      <c r="C7" s="5" t="s">
        <v>7</v>
      </c>
    </row>
    <row r="8" customFormat="false" ht="15" hidden="false" customHeight="false" outlineLevel="0" collapsed="false">
      <c r="B8" s="4" t="s">
        <v>8</v>
      </c>
      <c r="C8" s="5" t="s">
        <v>9</v>
      </c>
    </row>
    <row r="9" customFormat="false" ht="15" hidden="false" customHeight="false" outlineLevel="0" collapsed="false">
      <c r="B9" s="4" t="s">
        <v>10</v>
      </c>
      <c r="C9" s="5" t="s">
        <v>11</v>
      </c>
    </row>
    <row r="11" customFormat="false" ht="15" hidden="false" customHeight="false" outlineLevel="0" collapsed="false">
      <c r="B11" s="6" t="s">
        <v>12</v>
      </c>
    </row>
    <row r="12" customFormat="false" ht="30" hidden="false" customHeight="true" outlineLevel="0" collapsed="false">
      <c r="B12" s="7" t="s">
        <v>13</v>
      </c>
      <c r="C12" s="7"/>
    </row>
    <row r="13" customFormat="false" ht="30" hidden="false" customHeight="true" outlineLevel="0" collapsed="false">
      <c r="B13" s="7" t="s">
        <v>14</v>
      </c>
      <c r="C13" s="7"/>
    </row>
    <row r="14" customFormat="false" ht="30" hidden="false" customHeight="true" outlineLevel="0" collapsed="false">
      <c r="B14" s="7" t="s">
        <v>15</v>
      </c>
      <c r="C14" s="7"/>
    </row>
    <row r="15" customFormat="false" ht="30" hidden="false" customHeight="true" outlineLevel="0" collapsed="false">
      <c r="B15" s="7" t="s">
        <v>16</v>
      </c>
      <c r="C15" s="7"/>
    </row>
    <row r="17" customFormat="false" ht="15" hidden="false" customHeight="false" outlineLevel="0" collapsed="false">
      <c r="B17" s="6" t="s">
        <v>17</v>
      </c>
    </row>
    <row r="18" customFormat="false" ht="30" hidden="false" customHeight="true" outlineLevel="0" collapsed="false">
      <c r="B18" s="7" t="s">
        <v>18</v>
      </c>
      <c r="C18" s="7"/>
    </row>
    <row r="19" customFormat="false" ht="30" hidden="false" customHeight="true" outlineLevel="0" collapsed="false">
      <c r="B19" s="7" t="s">
        <v>19</v>
      </c>
      <c r="C19" s="7"/>
    </row>
    <row r="20" customFormat="false" ht="30" hidden="false" customHeight="true" outlineLevel="0" collapsed="false">
      <c r="B20" s="7" t="s">
        <v>20</v>
      </c>
      <c r="C20" s="7"/>
    </row>
  </sheetData>
  <mergeCells count="7">
    <mergeCell ref="B12:C12"/>
    <mergeCell ref="B13:C13"/>
    <mergeCell ref="B14:C14"/>
    <mergeCell ref="B15:C15"/>
    <mergeCell ref="B18:C18"/>
    <mergeCell ref="B19:C19"/>
    <mergeCell ref="B20:C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M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14" min="2" style="0" width="11.5"/>
  </cols>
  <sheetData>
    <row r="1" customFormat="false" ht="22.0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tr">
        <f aca="false">"12 months from "&amp;TEXT(Lists!B2,"mmm yyyy")&amp;"  |  Sample data"</f>
        <v>12 months from Oct 2025  |  Sample data</v>
      </c>
    </row>
    <row r="4" customFormat="false" ht="15" hidden="false" customHeight="false" outlineLevel="0" collapsed="false">
      <c r="B4" s="8" t="s">
        <v>21</v>
      </c>
      <c r="C4" s="9" t="s">
        <v>22</v>
      </c>
      <c r="D4" s="2" t="s">
        <v>23</v>
      </c>
    </row>
    <row r="6" customFormat="false" ht="15" hidden="false" customHeight="false" outlineLevel="0" collapsed="false">
      <c r="B6" s="10" t="s">
        <v>24</v>
      </c>
      <c r="C6" s="10"/>
      <c r="D6" s="10" t="s">
        <v>25</v>
      </c>
      <c r="E6" s="10"/>
      <c r="F6" s="10" t="s">
        <v>26</v>
      </c>
      <c r="G6" s="10"/>
      <c r="H6" s="10" t="s">
        <v>27</v>
      </c>
      <c r="I6" s="10"/>
      <c r="J6" s="10" t="s">
        <v>28</v>
      </c>
      <c r="K6" s="10"/>
      <c r="L6" s="10" t="s">
        <v>29</v>
      </c>
      <c r="M6" s="10"/>
    </row>
    <row r="7" customFormat="false" ht="36" hidden="false" customHeight="true" outlineLevel="0" collapsed="false">
      <c r="B7" s="11" t="n">
        <f aca="false">Analysis!C18</f>
        <v>778347.5</v>
      </c>
      <c r="C7" s="11"/>
      <c r="D7" s="11" t="n">
        <f aca="false">Analysis!D18</f>
        <v>278750.5</v>
      </c>
      <c r="E7" s="11"/>
      <c r="F7" s="12" t="n">
        <f aca="false">Analysis!E18</f>
        <v>0.358131168918767</v>
      </c>
      <c r="G7" s="12"/>
      <c r="H7" s="13" t="n">
        <f aca="false">Analysis!B18</f>
        <v>400</v>
      </c>
      <c r="I7" s="13"/>
      <c r="J7" s="11" t="n">
        <f aca="false">IF(Analysis!B18=0,0,Analysis!C18/Analysis!B18)</f>
        <v>1945.86875</v>
      </c>
      <c r="K7" s="11"/>
      <c r="L7" s="13" t="n">
        <f aca="false">SUM(Analysis!B23:B30)</f>
        <v>3163</v>
      </c>
      <c r="M7" s="13"/>
    </row>
    <row r="9" customFormat="false" ht="15" hidden="false" customHeight="false" outlineLevel="0" collapsed="false">
      <c r="B9" s="6" t="s">
        <v>30</v>
      </c>
    </row>
    <row r="10" customFormat="false" ht="15" hidden="false" customHeight="false" outlineLevel="0" collapsed="false">
      <c r="B10" s="14" t="str">
        <f aca="false">"Best month: "&amp;TEXT(INDEX(Analysis!A6:A17,MATCH(MAX(Analysis!C6:C17),Analysis!C6:C17,0)),"mmm yyyy")&amp;" ("&amp;TEXT(MAX(Analysis!C6:C17),"$#,##0")&amp;" revenue)"</f>
        <v>Best month: Dec 2025 ($83,738 revenue)</v>
      </c>
    </row>
    <row r="11" customFormat="false" ht="15" hidden="false" customHeight="false" outlineLevel="0" collapsed="false">
      <c r="B11" s="14" t="str">
        <f aca="false">"Top product: "&amp;INDEX(Analysis!A23:A30,MATCH(MAX(Analysis!C23:C30),Analysis!C23:C30,0))&amp;" ("&amp;TEXT(MAX(Analysis!C23:C30),"$#,##0")&amp;")"</f>
        <v>Top product: Laptop Air ($186,080)</v>
      </c>
    </row>
    <row r="12" customFormat="false" ht="15" hidden="false" customHeight="false" outlineLevel="0" collapsed="false">
      <c r="B12" s="14" t="str">
        <f aca="false">"Highest-margin product: "&amp;INDEX(Analysis!A23:A30,MATCH(MAX(Analysis!E23:E30),Analysis!E23:E30,0))&amp;" ("&amp;TEXT(MAX(Analysis!E23:E30),"0.0%")&amp;")"</f>
        <v>Highest-margin product: Mouse (50.4%)</v>
      </c>
    </row>
    <row r="13" customFormat="false" ht="15" hidden="false" customHeight="false" outlineLevel="0" collapsed="false">
      <c r="B13" s="14" t="str">
        <f aca="false">"Top region (all regions): "&amp;INDEX(Analysis!G6:G9,MATCH(MAX(Analysis!H6:H9),Analysis!H6:H9,0))&amp;" ("&amp;TEXT(MAX(Analysis!K6:K9),"0%")&amp;" of revenue)"</f>
        <v>Top region (all regions): East (27% of revenue)</v>
      </c>
    </row>
    <row r="14" customFormat="false" ht="15" hidden="false" customHeight="false" outlineLevel="0" collapsed="false">
      <c r="B14" s="14" t="str">
        <f aca="false">"Salespeople at or above target: "&amp;COUNTIF(Analysis!E35:E42,"&gt;=1")&amp;" of "&amp;COUNTA(Analysis!A35:A42)</f>
        <v>Salespeople at or above target: 3 of 8</v>
      </c>
    </row>
  </sheetData>
  <mergeCells count="12">
    <mergeCell ref="B6:C6"/>
    <mergeCell ref="D6:E6"/>
    <mergeCell ref="F6:G6"/>
    <mergeCell ref="H6:I6"/>
    <mergeCell ref="J6:K6"/>
    <mergeCell ref="L6:M6"/>
    <mergeCell ref="B7:C7"/>
    <mergeCell ref="D7:E7"/>
    <mergeCell ref="F7:G7"/>
    <mergeCell ref="H7:I7"/>
    <mergeCell ref="J7:K7"/>
    <mergeCell ref="L7:M7"/>
  </mergeCells>
  <dataValidations count="1">
    <dataValidation allowBlank="false" errorStyle="stop" operator="between" showDropDown="false" showErrorMessage="false" showInputMessage="false" sqref="C4" type="list">
      <formula1>"All,North,South,East,West"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  <col collapsed="false" customWidth="true" hidden="false" outlineLevel="0" max="4" min="3" style="0" width="15"/>
    <col collapsed="false" customWidth="true" hidden="false" outlineLevel="0" max="5" min="5" style="0" width="12"/>
    <col collapsed="false" customWidth="true" hidden="false" outlineLevel="0" max="6" min="6" style="0" width="3"/>
    <col collapsed="false" customWidth="true" hidden="false" outlineLevel="0" max="7" min="7" style="0" width="16"/>
    <col collapsed="false" customWidth="true" hidden="false" outlineLevel="0" max="9" min="8" style="0" width="15"/>
    <col collapsed="false" customWidth="true" hidden="false" outlineLevel="0" max="11" min="10" style="0" width="12"/>
  </cols>
  <sheetData>
    <row r="1" customFormat="false" ht="22.05" hidden="false" customHeight="false" outlineLevel="0" collapsed="false">
      <c r="A1" s="1" t="s">
        <v>31</v>
      </c>
    </row>
    <row r="2" customFormat="false" ht="15" hidden="false" customHeight="false" outlineLevel="0" collapsed="false">
      <c r="A2" s="15" t="s">
        <v>32</v>
      </c>
      <c r="B2" s="16" t="str">
        <f aca="false">Dashboard!$C$4</f>
        <v>All</v>
      </c>
      <c r="C2" s="2" t="s">
        <v>33</v>
      </c>
      <c r="D2" s="14" t="str">
        <f aca="false">IF(B2="All","*",B2)</f>
        <v>*</v>
      </c>
    </row>
    <row r="4" customFormat="false" ht="15" hidden="false" customHeight="false" outlineLevel="0" collapsed="false">
      <c r="A4" s="15" t="s">
        <v>34</v>
      </c>
      <c r="G4" s="15" t="s">
        <v>35</v>
      </c>
    </row>
    <row r="5" customFormat="false" ht="15" hidden="false" customHeight="false" outlineLevel="0" collapsed="false">
      <c r="A5" s="17" t="s">
        <v>36</v>
      </c>
      <c r="B5" s="17" t="s">
        <v>27</v>
      </c>
      <c r="C5" s="17" t="s">
        <v>24</v>
      </c>
      <c r="D5" s="17" t="s">
        <v>25</v>
      </c>
      <c r="E5" s="17" t="s">
        <v>37</v>
      </c>
      <c r="G5" s="17" t="s">
        <v>21</v>
      </c>
      <c r="H5" s="17" t="s">
        <v>24</v>
      </c>
      <c r="I5" s="17" t="s">
        <v>25</v>
      </c>
      <c r="J5" s="17" t="s">
        <v>37</v>
      </c>
      <c r="K5" s="17" t="s">
        <v>38</v>
      </c>
    </row>
    <row r="6" customFormat="false" ht="15" hidden="false" customHeight="false" outlineLevel="0" collapsed="false">
      <c r="A6" s="18" t="n">
        <f aca="false">Lists!$B$2</f>
        <v>45931</v>
      </c>
      <c r="B6" s="19" t="n">
        <f aca="false">COUNTIFS(Data!$N$2:$N$2000,A6,Data!$G$2:$G$2000,$D$2)</f>
        <v>28</v>
      </c>
      <c r="C6" s="20" t="n">
        <f aca="false">SUMIFS(Data!$K$2:$K$2000,Data!$N$2:$N$2000,A6,Data!$G$2:$G$2000,$D$2)</f>
        <v>48234</v>
      </c>
      <c r="D6" s="20" t="n">
        <f aca="false">SUMIFS(Data!$M$2:$M$2000,Data!$N$2:$N$2000,A6,Data!$G$2:$G$2000,$D$2)</f>
        <v>17386</v>
      </c>
      <c r="E6" s="21" t="n">
        <f aca="false">IF(C6=0,0,D6/C6)</f>
        <v>0.360451134054816</v>
      </c>
      <c r="G6" s="22" t="str">
        <f aca="false">Lists!J5</f>
        <v>North</v>
      </c>
      <c r="H6" s="20" t="n">
        <f aca="false">SUMIFS(Data!$K$2:$K$2000,Data!$G$2:$G$2000,G6)</f>
        <v>203546.5</v>
      </c>
      <c r="I6" s="20" t="n">
        <f aca="false">SUMIFS(Data!$M$2:$M$2000,Data!$G$2:$G$2000,G6)</f>
        <v>73868.5</v>
      </c>
      <c r="J6" s="21" t="n">
        <f aca="false">IF(H6=0,0,I6/H6)</f>
        <v>0.362907247238346</v>
      </c>
      <c r="K6" s="21" t="n">
        <f aca="false">IF($H$10=0,0,H6/$H$10)</f>
        <v>0.261511085986658</v>
      </c>
    </row>
    <row r="7" customFormat="false" ht="15" hidden="false" customHeight="false" outlineLevel="0" collapsed="false">
      <c r="A7" s="18" t="n">
        <f aca="false">EDATE(A6,1)</f>
        <v>45962</v>
      </c>
      <c r="B7" s="19" t="n">
        <f aca="false">COUNTIFS(Data!$N$2:$N$2000,A7,Data!$G$2:$G$2000,$D$2)</f>
        <v>34</v>
      </c>
      <c r="C7" s="20" t="n">
        <f aca="false">SUMIFS(Data!$K$2:$K$2000,Data!$N$2:$N$2000,A7,Data!$G$2:$G$2000,$D$2)</f>
        <v>59667.5</v>
      </c>
      <c r="D7" s="20" t="n">
        <f aca="false">SUMIFS(Data!$M$2:$M$2000,Data!$N$2:$N$2000,A7,Data!$G$2:$G$2000,$D$2)</f>
        <v>21500.5</v>
      </c>
      <c r="E7" s="21" t="n">
        <f aca="false">IF(C7=0,0,D7/C7)</f>
        <v>0.360338542757783</v>
      </c>
      <c r="G7" s="22" t="str">
        <f aca="false">Lists!J6</f>
        <v>South</v>
      </c>
      <c r="H7" s="20" t="n">
        <f aca="false">SUMIFS(Data!$K$2:$K$2000,Data!$G$2:$G$2000,G7)</f>
        <v>165410</v>
      </c>
      <c r="I7" s="20" t="n">
        <f aca="false">SUMIFS(Data!$M$2:$M$2000,Data!$G$2:$G$2000,G7)</f>
        <v>56834</v>
      </c>
      <c r="J7" s="21" t="n">
        <f aca="false">IF(H7=0,0,I7/H7)</f>
        <v>0.343594704068678</v>
      </c>
      <c r="K7" s="21" t="n">
        <f aca="false">IF($H$10=0,0,H7/$H$10)</f>
        <v>0.212514333250894</v>
      </c>
    </row>
    <row r="8" customFormat="false" ht="15" hidden="false" customHeight="false" outlineLevel="0" collapsed="false">
      <c r="A8" s="18" t="n">
        <f aca="false">EDATE(A7,1)</f>
        <v>45992</v>
      </c>
      <c r="B8" s="19" t="n">
        <f aca="false">COUNTIFS(Data!$N$2:$N$2000,A8,Data!$G$2:$G$2000,$D$2)</f>
        <v>49</v>
      </c>
      <c r="C8" s="20" t="n">
        <f aca="false">SUMIFS(Data!$K$2:$K$2000,Data!$N$2:$N$2000,A8,Data!$G$2:$G$2000,$D$2)</f>
        <v>83737.5</v>
      </c>
      <c r="D8" s="20" t="n">
        <f aca="false">SUMIFS(Data!$M$2:$M$2000,Data!$N$2:$N$2000,A8,Data!$G$2:$G$2000,$D$2)</f>
        <v>31916.5</v>
      </c>
      <c r="E8" s="21" t="n">
        <f aca="false">IF(C8=0,0,D8/C8)</f>
        <v>0.381149425287356</v>
      </c>
      <c r="G8" s="22" t="str">
        <f aca="false">Lists!J7</f>
        <v>East</v>
      </c>
      <c r="H8" s="20" t="n">
        <f aca="false">SUMIFS(Data!$K$2:$K$2000,Data!$G$2:$G$2000,G8)</f>
        <v>209896</v>
      </c>
      <c r="I8" s="20" t="n">
        <f aca="false">SUMIFS(Data!$M$2:$M$2000,Data!$G$2:$G$2000,G8)</f>
        <v>76358</v>
      </c>
      <c r="J8" s="21" t="n">
        <f aca="false">IF(H8=0,0,I8/H8)</f>
        <v>0.363789686320845</v>
      </c>
      <c r="K8" s="21" t="n">
        <f aca="false">IF($H$10=0,0,H8/$H$10)</f>
        <v>0.269668753352455</v>
      </c>
    </row>
    <row r="9" customFormat="false" ht="15" hidden="false" customHeight="false" outlineLevel="0" collapsed="false">
      <c r="A9" s="18" t="n">
        <f aca="false">EDATE(A8,1)</f>
        <v>46023</v>
      </c>
      <c r="B9" s="19" t="n">
        <f aca="false">COUNTIFS(Data!$N$2:$N$2000,A9,Data!$G$2:$G$2000,$D$2)</f>
        <v>28</v>
      </c>
      <c r="C9" s="20" t="n">
        <f aca="false">SUMIFS(Data!$K$2:$K$2000,Data!$N$2:$N$2000,A9,Data!$G$2:$G$2000,$D$2)</f>
        <v>71169</v>
      </c>
      <c r="D9" s="20" t="n">
        <f aca="false">SUMIFS(Data!$M$2:$M$2000,Data!$N$2:$N$2000,A9,Data!$G$2:$G$2000,$D$2)</f>
        <v>22164</v>
      </c>
      <c r="E9" s="21" t="n">
        <f aca="false">IF(C9=0,0,D9/C9)</f>
        <v>0.311427728364878</v>
      </c>
      <c r="G9" s="22" t="str">
        <f aca="false">Lists!J8</f>
        <v>West</v>
      </c>
      <c r="H9" s="20" t="n">
        <f aca="false">SUMIFS(Data!$K$2:$K$2000,Data!$G$2:$G$2000,G9)</f>
        <v>199495</v>
      </c>
      <c r="I9" s="20" t="n">
        <f aca="false">SUMIFS(Data!$M$2:$M$2000,Data!$G$2:$G$2000,G9)</f>
        <v>71690</v>
      </c>
      <c r="J9" s="21" t="n">
        <f aca="false">IF(H9=0,0,I9/H9)</f>
        <v>0.359357377377879</v>
      </c>
      <c r="K9" s="21" t="n">
        <f aca="false">IF($H$10=0,0,H9/$H$10)</f>
        <v>0.256305827409994</v>
      </c>
    </row>
    <row r="10" customFormat="false" ht="15" hidden="false" customHeight="false" outlineLevel="0" collapsed="false">
      <c r="A10" s="18" t="n">
        <f aca="false">EDATE(A9,1)</f>
        <v>46054</v>
      </c>
      <c r="B10" s="19" t="n">
        <f aca="false">COUNTIFS(Data!$N$2:$N$2000,A10,Data!$G$2:$G$2000,$D$2)</f>
        <v>23</v>
      </c>
      <c r="C10" s="20" t="n">
        <f aca="false">SUMIFS(Data!$K$2:$K$2000,Data!$N$2:$N$2000,A10,Data!$G$2:$G$2000,$D$2)</f>
        <v>51020.5</v>
      </c>
      <c r="D10" s="20" t="n">
        <f aca="false">SUMIFS(Data!$M$2:$M$2000,Data!$N$2:$N$2000,A10,Data!$G$2:$G$2000,$D$2)</f>
        <v>16264.5</v>
      </c>
      <c r="E10" s="21" t="n">
        <f aca="false">IF(C10=0,0,D10/C10)</f>
        <v>0.318783626189473</v>
      </c>
      <c r="G10" s="23" t="s">
        <v>39</v>
      </c>
      <c r="H10" s="24" t="n">
        <f aca="false">SUM(H6:H9)</f>
        <v>778347.5</v>
      </c>
      <c r="I10" s="24" t="n">
        <f aca="false">SUM(I6:I9)</f>
        <v>278750.5</v>
      </c>
      <c r="J10" s="25" t="n">
        <f aca="false">IF(H10=0,0,I10/H10)</f>
        <v>0.358131168918767</v>
      </c>
      <c r="K10" s="25" t="n">
        <f aca="false">SUM(K6:K9)</f>
        <v>1</v>
      </c>
    </row>
    <row r="11" customFormat="false" ht="15" hidden="false" customHeight="false" outlineLevel="0" collapsed="false">
      <c r="A11" s="18" t="n">
        <f aca="false">EDATE(A10,1)</f>
        <v>46082</v>
      </c>
      <c r="B11" s="19" t="n">
        <f aca="false">COUNTIFS(Data!$N$2:$N$2000,A11,Data!$G$2:$G$2000,$D$2)</f>
        <v>27</v>
      </c>
      <c r="C11" s="20" t="n">
        <f aca="false">SUMIFS(Data!$K$2:$K$2000,Data!$N$2:$N$2000,A11,Data!$G$2:$G$2000,$D$2)</f>
        <v>58207</v>
      </c>
      <c r="D11" s="20" t="n">
        <f aca="false">SUMIFS(Data!$M$2:$M$2000,Data!$N$2:$N$2000,A11,Data!$G$2:$G$2000,$D$2)</f>
        <v>19804</v>
      </c>
      <c r="E11" s="21" t="n">
        <f aca="false">IF(C11=0,0,D11/C11)</f>
        <v>0.340233992475132</v>
      </c>
    </row>
    <row r="12" customFormat="false" ht="15" hidden="false" customHeight="false" outlineLevel="0" collapsed="false">
      <c r="A12" s="18" t="n">
        <f aca="false">EDATE(A11,1)</f>
        <v>46113</v>
      </c>
      <c r="B12" s="19" t="n">
        <f aca="false">COUNTIFS(Data!$N$2:$N$2000,A12,Data!$G$2:$G$2000,$D$2)</f>
        <v>30</v>
      </c>
      <c r="C12" s="20" t="n">
        <f aca="false">SUMIFS(Data!$K$2:$K$2000,Data!$N$2:$N$2000,A12,Data!$G$2:$G$2000,$D$2)</f>
        <v>51774</v>
      </c>
      <c r="D12" s="20" t="n">
        <f aca="false">SUMIFS(Data!$M$2:$M$2000,Data!$N$2:$N$2000,A12,Data!$G$2:$G$2000,$D$2)</f>
        <v>17898</v>
      </c>
      <c r="E12" s="21" t="n">
        <f aca="false">IF(C12=0,0,D12/C12)</f>
        <v>0.345694750260749</v>
      </c>
    </row>
    <row r="13" customFormat="false" ht="15" hidden="false" customHeight="false" outlineLevel="0" collapsed="false">
      <c r="A13" s="18" t="n">
        <f aca="false">EDATE(A12,1)</f>
        <v>46143</v>
      </c>
      <c r="B13" s="19" t="n">
        <f aca="false">COUNTIFS(Data!$N$2:$N$2000,A13,Data!$G$2:$G$2000,$D$2)</f>
        <v>31</v>
      </c>
      <c r="C13" s="20" t="n">
        <f aca="false">SUMIFS(Data!$K$2:$K$2000,Data!$N$2:$N$2000,A13,Data!$G$2:$G$2000,$D$2)</f>
        <v>75756</v>
      </c>
      <c r="D13" s="20" t="n">
        <f aca="false">SUMIFS(Data!$M$2:$M$2000,Data!$N$2:$N$2000,A13,Data!$G$2:$G$2000,$D$2)</f>
        <v>25964</v>
      </c>
      <c r="E13" s="21" t="n">
        <f aca="false">IF(C13=0,0,D13/C13)</f>
        <v>0.34273192882412</v>
      </c>
    </row>
    <row r="14" customFormat="false" ht="15" hidden="false" customHeight="false" outlineLevel="0" collapsed="false">
      <c r="A14" s="18" t="n">
        <f aca="false">EDATE(A13,1)</f>
        <v>46174</v>
      </c>
      <c r="B14" s="19" t="n">
        <f aca="false">COUNTIFS(Data!$N$2:$N$2000,A14,Data!$G$2:$G$2000,$D$2)</f>
        <v>35</v>
      </c>
      <c r="C14" s="20" t="n">
        <f aca="false">SUMIFS(Data!$K$2:$K$2000,Data!$N$2:$N$2000,A14,Data!$G$2:$G$2000,$D$2)</f>
        <v>70280</v>
      </c>
      <c r="D14" s="20" t="n">
        <f aca="false">SUMIFS(Data!$M$2:$M$2000,Data!$N$2:$N$2000,A14,Data!$G$2:$G$2000,$D$2)</f>
        <v>25675</v>
      </c>
      <c r="E14" s="21" t="n">
        <f aca="false">IF(C14=0,0,D14/C14)</f>
        <v>0.365324416619237</v>
      </c>
    </row>
    <row r="15" customFormat="false" ht="15" hidden="false" customHeight="false" outlineLevel="0" collapsed="false">
      <c r="A15" s="18" t="n">
        <f aca="false">EDATE(A14,1)</f>
        <v>46204</v>
      </c>
      <c r="B15" s="19" t="n">
        <f aca="false">COUNTIFS(Data!$N$2:$N$2000,A15,Data!$G$2:$G$2000,$D$2)</f>
        <v>41</v>
      </c>
      <c r="C15" s="20" t="n">
        <f aca="false">SUMIFS(Data!$K$2:$K$2000,Data!$N$2:$N$2000,A15,Data!$G$2:$G$2000,$D$2)</f>
        <v>77898.5</v>
      </c>
      <c r="D15" s="20" t="n">
        <f aca="false">SUMIFS(Data!$M$2:$M$2000,Data!$N$2:$N$2000,A15,Data!$G$2:$G$2000,$D$2)</f>
        <v>29451.5</v>
      </c>
      <c r="E15" s="21" t="n">
        <f aca="false">IF(C15=0,0,D15/C15)</f>
        <v>0.37807531595602</v>
      </c>
    </row>
    <row r="16" customFormat="false" ht="15" hidden="false" customHeight="false" outlineLevel="0" collapsed="false">
      <c r="A16" s="18" t="n">
        <f aca="false">EDATE(A15,1)</f>
        <v>46235</v>
      </c>
      <c r="B16" s="19" t="n">
        <f aca="false">COUNTIFS(Data!$N$2:$N$2000,A16,Data!$G$2:$G$2000,$D$2)</f>
        <v>39</v>
      </c>
      <c r="C16" s="20" t="n">
        <f aca="false">SUMIFS(Data!$K$2:$K$2000,Data!$N$2:$N$2000,A16,Data!$G$2:$G$2000,$D$2)</f>
        <v>73205.5</v>
      </c>
      <c r="D16" s="20" t="n">
        <f aca="false">SUMIFS(Data!$M$2:$M$2000,Data!$N$2:$N$2000,A16,Data!$G$2:$G$2000,$D$2)</f>
        <v>28920.5</v>
      </c>
      <c r="E16" s="21" t="n">
        <f aca="false">IF(C16=0,0,D16/C16)</f>
        <v>0.395059114410803</v>
      </c>
    </row>
    <row r="17" customFormat="false" ht="15" hidden="false" customHeight="false" outlineLevel="0" collapsed="false">
      <c r="A17" s="18" t="n">
        <f aca="false">EDATE(A16,1)</f>
        <v>46266</v>
      </c>
      <c r="B17" s="19" t="n">
        <f aca="false">COUNTIFS(Data!$N$2:$N$2000,A17,Data!$G$2:$G$2000,$D$2)</f>
        <v>35</v>
      </c>
      <c r="C17" s="20" t="n">
        <f aca="false">SUMIFS(Data!$K$2:$K$2000,Data!$N$2:$N$2000,A17,Data!$G$2:$G$2000,$D$2)</f>
        <v>57398</v>
      </c>
      <c r="D17" s="20" t="n">
        <f aca="false">SUMIFS(Data!$M$2:$M$2000,Data!$N$2:$N$2000,A17,Data!$G$2:$G$2000,$D$2)</f>
        <v>21806</v>
      </c>
      <c r="E17" s="21" t="n">
        <f aca="false">IF(C17=0,0,D17/C17)</f>
        <v>0.379908707620475</v>
      </c>
    </row>
    <row r="18" customFormat="false" ht="15" hidden="false" customHeight="false" outlineLevel="0" collapsed="false">
      <c r="A18" s="23" t="s">
        <v>39</v>
      </c>
      <c r="B18" s="26" t="n">
        <f aca="false">SUM(B6:B17)</f>
        <v>400</v>
      </c>
      <c r="C18" s="24" t="n">
        <f aca="false">SUM(C6:C17)</f>
        <v>778347.5</v>
      </c>
      <c r="D18" s="24" t="n">
        <f aca="false">SUM(D6:D17)</f>
        <v>278750.5</v>
      </c>
      <c r="E18" s="25" t="n">
        <f aca="false">IF(C18=0,0,D18/C18)</f>
        <v>0.358131168918767</v>
      </c>
    </row>
    <row r="21" customFormat="false" ht="15" hidden="false" customHeight="false" outlineLevel="0" collapsed="false">
      <c r="A21" s="15" t="s">
        <v>40</v>
      </c>
      <c r="G21" s="15" t="s">
        <v>41</v>
      </c>
    </row>
    <row r="22" customFormat="false" ht="15" hidden="false" customHeight="false" outlineLevel="0" collapsed="false">
      <c r="A22" s="17" t="s">
        <v>42</v>
      </c>
      <c r="B22" s="17" t="s">
        <v>43</v>
      </c>
      <c r="C22" s="17" t="s">
        <v>24</v>
      </c>
      <c r="D22" s="17" t="s">
        <v>25</v>
      </c>
      <c r="E22" s="17" t="s">
        <v>37</v>
      </c>
      <c r="G22" s="17" t="s">
        <v>44</v>
      </c>
      <c r="H22" s="17" t="s">
        <v>24</v>
      </c>
      <c r="I22" s="17" t="s">
        <v>25</v>
      </c>
      <c r="J22" s="17" t="s">
        <v>37</v>
      </c>
    </row>
    <row r="23" customFormat="false" ht="15" hidden="false" customHeight="false" outlineLevel="0" collapsed="false">
      <c r="A23" s="22" t="str">
        <f aca="false">Lists!A5</f>
        <v>Laptop Pro</v>
      </c>
      <c r="B23" s="19" t="n">
        <f aca="false">SUMIFS(Data!$E$2:$E$2000,Data!$D$2:$D$2000,A23,Data!$G$2:$G$2000,$D$2)</f>
        <v>66</v>
      </c>
      <c r="C23" s="20" t="n">
        <f aca="false">SUMIFS(Data!$K$2:$K$2000,Data!$D$2:$D$2000,A23,Data!$G$2:$G$2000,$D$2)</f>
        <v>151800</v>
      </c>
      <c r="D23" s="20" t="n">
        <f aca="false">SUMIFS(Data!$M$2:$M$2000,Data!$D$2:$D$2000,A23,Data!$G$2:$G$2000,$D$2)</f>
        <v>42900</v>
      </c>
      <c r="E23" s="21" t="n">
        <f aca="false">IF(C23=0,0,D23/C23)</f>
        <v>0.282608695652174</v>
      </c>
      <c r="G23" s="27" t="s">
        <v>45</v>
      </c>
      <c r="H23" s="20" t="n">
        <f aca="false">SUMIFS(Data!$K$2:$K$2000,Data!$H$2:$H$2000,G23,Data!$G$2:$G$2000,$D$2)</f>
        <v>337880</v>
      </c>
      <c r="I23" s="20" t="n">
        <f aca="false">SUMIFS(Data!$M$2:$M$2000,Data!$H$2:$H$2000,G23,Data!$G$2:$G$2000,$D$2)</f>
        <v>94780</v>
      </c>
      <c r="J23" s="21" t="n">
        <f aca="false">IF(H23=0,0,I23/H23)</f>
        <v>0.280513791878774</v>
      </c>
    </row>
    <row r="24" customFormat="false" ht="15" hidden="false" customHeight="false" outlineLevel="0" collapsed="false">
      <c r="A24" s="22" t="str">
        <f aca="false">Lists!A6</f>
        <v>Laptop Air</v>
      </c>
      <c r="B24" s="19" t="n">
        <f aca="false">SUMIFS(Data!$E$2:$E$2000,Data!$D$2:$D$2000,A24,Data!$G$2:$G$2000,$D$2)</f>
        <v>122</v>
      </c>
      <c r="C24" s="20" t="n">
        <f aca="false">SUMIFS(Data!$K$2:$K$2000,Data!$D$2:$D$2000,A24,Data!$G$2:$G$2000,$D$2)</f>
        <v>186080</v>
      </c>
      <c r="D24" s="20" t="n">
        <f aca="false">SUMIFS(Data!$M$2:$M$2000,Data!$D$2:$D$2000,A24,Data!$G$2:$G$2000,$D$2)</f>
        <v>51880</v>
      </c>
      <c r="E24" s="21" t="n">
        <f aca="false">IF(C24=0,0,D24/C24)</f>
        <v>0.278804815133276</v>
      </c>
      <c r="G24" s="27" t="s">
        <v>46</v>
      </c>
      <c r="H24" s="20" t="n">
        <f aca="false">SUMIFS(Data!$K$2:$K$2000,Data!$H$2:$H$2000,G24,Data!$G$2:$G$2000,$D$2)</f>
        <v>108966</v>
      </c>
      <c r="I24" s="20" t="n">
        <f aca="false">SUMIFS(Data!$M$2:$M$2000,Data!$H$2:$H$2000,G24,Data!$G$2:$G$2000,$D$2)</f>
        <v>33826</v>
      </c>
      <c r="J24" s="21" t="n">
        <f aca="false">IF(H24=0,0,I24/H24)</f>
        <v>0.310427105702696</v>
      </c>
    </row>
    <row r="25" customFormat="false" ht="15" hidden="false" customHeight="false" outlineLevel="0" collapsed="false">
      <c r="A25" s="22" t="str">
        <f aca="false">Lists!A7</f>
        <v>Monitor 27"</v>
      </c>
      <c r="B25" s="19" t="n">
        <f aca="false">SUMIFS(Data!$E$2:$E$2000,Data!$D$2:$D$2000,A25,Data!$G$2:$G$2000,$D$2)</f>
        <v>221</v>
      </c>
      <c r="C25" s="20" t="n">
        <f aca="false">SUMIFS(Data!$K$2:$K$2000,Data!$D$2:$D$2000,A25,Data!$G$2:$G$2000,$D$2)</f>
        <v>108966</v>
      </c>
      <c r="D25" s="20" t="n">
        <f aca="false">SUMIFS(Data!$M$2:$M$2000,Data!$D$2:$D$2000,A25,Data!$G$2:$G$2000,$D$2)</f>
        <v>33826</v>
      </c>
      <c r="E25" s="21" t="n">
        <f aca="false">IF(C25=0,0,D25/C25)</f>
        <v>0.310427105702696</v>
      </c>
      <c r="G25" s="27" t="s">
        <v>47</v>
      </c>
      <c r="H25" s="20" t="n">
        <f aca="false">SUMIFS(Data!$K$2:$K$2000,Data!$H$2:$H$2000,G25,Data!$G$2:$G$2000,$D$2)</f>
        <v>229968</v>
      </c>
      <c r="I25" s="20" t="n">
        <f aca="false">SUMIFS(Data!$M$2:$M$2000,Data!$H$2:$H$2000,G25,Data!$G$2:$G$2000,$D$2)</f>
        <v>106186</v>
      </c>
      <c r="J25" s="21" t="n">
        <f aca="false">IF(H25=0,0,I25/H25)</f>
        <v>0.461742503304808</v>
      </c>
    </row>
    <row r="26" customFormat="false" ht="15" hidden="false" customHeight="false" outlineLevel="0" collapsed="false">
      <c r="A26" s="22" t="str">
        <f aca="false">Lists!A8</f>
        <v>Docking Station</v>
      </c>
      <c r="B26" s="19" t="n">
        <f aca="false">SUMIFS(Data!$E$2:$E$2000,Data!$D$2:$D$2000,A26,Data!$G$2:$G$2000,$D$2)</f>
        <v>182</v>
      </c>
      <c r="C26" s="20" t="n">
        <f aca="false">SUMIFS(Data!$K$2:$K$2000,Data!$D$2:$D$2000,A26,Data!$G$2:$G$2000,$D$2)</f>
        <v>45162</v>
      </c>
      <c r="D26" s="20" t="n">
        <f aca="false">SUMIFS(Data!$M$2:$M$2000,Data!$D$2:$D$2000,A26,Data!$G$2:$G$2000,$D$2)</f>
        <v>17862</v>
      </c>
      <c r="E26" s="21" t="n">
        <f aca="false">IF(C26=0,0,D26/C26)</f>
        <v>0.395509499136442</v>
      </c>
      <c r="G26" s="27" t="s">
        <v>48</v>
      </c>
      <c r="H26" s="20" t="n">
        <f aca="false">SUMIFS(Data!$K$2:$K$2000,Data!$H$2:$H$2000,G26,Data!$G$2:$G$2000,$D$2)</f>
        <v>101533.5</v>
      </c>
      <c r="I26" s="20" t="n">
        <f aca="false">SUMIFS(Data!$M$2:$M$2000,Data!$H$2:$H$2000,G26,Data!$G$2:$G$2000,$D$2)</f>
        <v>43958.5</v>
      </c>
      <c r="J26" s="21" t="n">
        <f aca="false">IF(H26=0,0,I26/H26)</f>
        <v>0.43294577651711</v>
      </c>
    </row>
    <row r="27" customFormat="false" ht="15" hidden="false" customHeight="false" outlineLevel="0" collapsed="false">
      <c r="A27" s="22" t="str">
        <f aca="false">Lists!A9</f>
        <v>Keyboard</v>
      </c>
      <c r="B27" s="19" t="n">
        <f aca="false">SUMIFS(Data!$E$2:$E$2000,Data!$D$2:$D$2000,A27,Data!$G$2:$G$2000,$D$2)</f>
        <v>950</v>
      </c>
      <c r="C27" s="20" t="n">
        <f aca="false">SUMIFS(Data!$K$2:$K$2000,Data!$D$2:$D$2000,A27,Data!$G$2:$G$2000,$D$2)</f>
        <v>108978</v>
      </c>
      <c r="D27" s="20" t="n">
        <f aca="false">SUMIFS(Data!$M$2:$M$2000,Data!$D$2:$D$2000,A27,Data!$G$2:$G$2000,$D$2)</f>
        <v>50078</v>
      </c>
      <c r="E27" s="21" t="n">
        <f aca="false">IF(C27=0,0,D27/C27)</f>
        <v>0.459523940611867</v>
      </c>
    </row>
    <row r="28" customFormat="false" ht="15" hidden="false" customHeight="false" outlineLevel="0" collapsed="false">
      <c r="A28" s="22" t="str">
        <f aca="false">Lists!A10</f>
        <v>Mouse</v>
      </c>
      <c r="B28" s="19" t="n">
        <f aca="false">SUMIFS(Data!$E$2:$E$2000,Data!$D$2:$D$2000,A28,Data!$G$2:$G$2000,$D$2)</f>
        <v>989</v>
      </c>
      <c r="C28" s="20" t="n">
        <f aca="false">SUMIFS(Data!$K$2:$K$2000,Data!$D$2:$D$2000,A28,Data!$G$2:$G$2000,$D$2)</f>
        <v>75828</v>
      </c>
      <c r="D28" s="20" t="n">
        <f aca="false">SUMIFS(Data!$M$2:$M$2000,Data!$D$2:$D$2000,A28,Data!$G$2:$G$2000,$D$2)</f>
        <v>38246</v>
      </c>
      <c r="E28" s="21" t="n">
        <f aca="false">IF(C28=0,0,D28/C28)</f>
        <v>0.504378329904521</v>
      </c>
    </row>
    <row r="29" customFormat="false" ht="15" hidden="false" customHeight="false" outlineLevel="0" collapsed="false">
      <c r="A29" s="22" t="str">
        <f aca="false">Lists!A11</f>
        <v>Headset</v>
      </c>
      <c r="B29" s="19" t="n">
        <f aca="false">SUMIFS(Data!$E$2:$E$2000,Data!$D$2:$D$2000,A29,Data!$G$2:$G$2000,$D$2)</f>
        <v>379</v>
      </c>
      <c r="C29" s="20" t="n">
        <f aca="false">SUMIFS(Data!$K$2:$K$2000,Data!$D$2:$D$2000,A29,Data!$G$2:$G$2000,$D$2)</f>
        <v>67877.5</v>
      </c>
      <c r="D29" s="20" t="n">
        <f aca="false">SUMIFS(Data!$M$2:$M$2000,Data!$D$2:$D$2000,A29,Data!$G$2:$G$2000,$D$2)</f>
        <v>28082.5</v>
      </c>
      <c r="E29" s="21" t="n">
        <f aca="false">IF(C29=0,0,D29/C29)</f>
        <v>0.413723251445619</v>
      </c>
    </row>
    <row r="30" customFormat="false" ht="15" hidden="false" customHeight="false" outlineLevel="0" collapsed="false">
      <c r="A30" s="22" t="str">
        <f aca="false">Lists!A12</f>
        <v>Webcam</v>
      </c>
      <c r="B30" s="19" t="n">
        <f aca="false">SUMIFS(Data!$E$2:$E$2000,Data!$D$2:$D$2000,A30,Data!$G$2:$G$2000,$D$2)</f>
        <v>254</v>
      </c>
      <c r="C30" s="20" t="n">
        <f aca="false">SUMIFS(Data!$K$2:$K$2000,Data!$D$2:$D$2000,A30,Data!$G$2:$G$2000,$D$2)</f>
        <v>33656</v>
      </c>
      <c r="D30" s="20" t="n">
        <f aca="false">SUMIFS(Data!$M$2:$M$2000,Data!$D$2:$D$2000,A30,Data!$G$2:$G$2000,$D$2)</f>
        <v>15876</v>
      </c>
      <c r="E30" s="21" t="n">
        <f aca="false">IF(C30=0,0,D30/C30)</f>
        <v>0.47171381031614</v>
      </c>
    </row>
    <row r="33" customFormat="false" ht="15" hidden="false" customHeight="false" outlineLevel="0" collapsed="false">
      <c r="A33" s="15" t="s">
        <v>49</v>
      </c>
    </row>
    <row r="34" customFormat="false" ht="15" hidden="false" customHeight="false" outlineLevel="0" collapsed="false">
      <c r="A34" s="17" t="s">
        <v>50</v>
      </c>
      <c r="B34" s="17" t="s">
        <v>21</v>
      </c>
      <c r="C34" s="17" t="s">
        <v>24</v>
      </c>
      <c r="D34" s="17" t="s">
        <v>51</v>
      </c>
      <c r="E34" s="17" t="s">
        <v>52</v>
      </c>
    </row>
    <row r="35" customFormat="false" ht="15" hidden="false" customHeight="false" outlineLevel="0" collapsed="false">
      <c r="A35" s="22" t="str">
        <f aca="false">Lists!F5</f>
        <v>Aisha Khan</v>
      </c>
      <c r="B35" s="22" t="str">
        <f aca="false">Lists!G5</f>
        <v>North</v>
      </c>
      <c r="C35" s="20" t="n">
        <f aca="false">SUMIFS(Data!$K$2:$K$2000,Data!$C$2:$C$2000,A35)</f>
        <v>87518.5</v>
      </c>
      <c r="D35" s="28" t="n">
        <f aca="false">Lists!H5</f>
        <v>105000</v>
      </c>
      <c r="E35" s="21" t="n">
        <f aca="false">IF(D35=0,0,C35/D35)</f>
        <v>0.833509523809524</v>
      </c>
    </row>
    <row r="36" customFormat="false" ht="15" hidden="false" customHeight="false" outlineLevel="0" collapsed="false">
      <c r="A36" s="22" t="str">
        <f aca="false">Lists!F6</f>
        <v>Ben Carter</v>
      </c>
      <c r="B36" s="22" t="str">
        <f aca="false">Lists!G6</f>
        <v>North</v>
      </c>
      <c r="C36" s="20" t="n">
        <f aca="false">SUMIFS(Data!$K$2:$K$2000,Data!$C$2:$C$2000,A36)</f>
        <v>116028</v>
      </c>
      <c r="D36" s="28" t="n">
        <f aca="false">Lists!H6</f>
        <v>90000</v>
      </c>
      <c r="E36" s="21" t="n">
        <f aca="false">IF(D36=0,0,C36/D36)</f>
        <v>1.2892</v>
      </c>
    </row>
    <row r="37" customFormat="false" ht="15" hidden="false" customHeight="false" outlineLevel="0" collapsed="false">
      <c r="A37" s="22" t="str">
        <f aca="false">Lists!F7</f>
        <v>Chloe Nguyen</v>
      </c>
      <c r="B37" s="22" t="str">
        <f aca="false">Lists!G7</f>
        <v>South</v>
      </c>
      <c r="C37" s="20" t="n">
        <f aca="false">SUMIFS(Data!$K$2:$K$2000,Data!$C$2:$C$2000,A37)</f>
        <v>92489.5</v>
      </c>
      <c r="D37" s="28" t="n">
        <f aca="false">Lists!H7</f>
        <v>100000</v>
      </c>
      <c r="E37" s="21" t="n">
        <f aca="false">IF(D37=0,0,C37/D37)</f>
        <v>0.924895</v>
      </c>
    </row>
    <row r="38" customFormat="false" ht="15" hidden="false" customHeight="false" outlineLevel="0" collapsed="false">
      <c r="A38" s="22" t="str">
        <f aca="false">Lists!F8</f>
        <v>Daniel Ortiz</v>
      </c>
      <c r="B38" s="22" t="str">
        <f aca="false">Lists!G8</f>
        <v>South</v>
      </c>
      <c r="C38" s="20" t="n">
        <f aca="false">SUMIFS(Data!$K$2:$K$2000,Data!$C$2:$C$2000,A38)</f>
        <v>72920.5</v>
      </c>
      <c r="D38" s="28" t="n">
        <f aca="false">Lists!H8</f>
        <v>85000</v>
      </c>
      <c r="E38" s="21" t="n">
        <f aca="false">IF(D38=0,0,C38/D38)</f>
        <v>0.857888235294118</v>
      </c>
    </row>
    <row r="39" customFormat="false" ht="15" hidden="false" customHeight="false" outlineLevel="0" collapsed="false">
      <c r="A39" s="22" t="str">
        <f aca="false">Lists!F9</f>
        <v>Emma Walsh</v>
      </c>
      <c r="B39" s="22" t="str">
        <f aca="false">Lists!G9</f>
        <v>East</v>
      </c>
      <c r="C39" s="20" t="n">
        <f aca="false">SUMIFS(Data!$K$2:$K$2000,Data!$C$2:$C$2000,A39)</f>
        <v>108616.5</v>
      </c>
      <c r="D39" s="28" t="n">
        <f aca="false">Lists!H9</f>
        <v>110000</v>
      </c>
      <c r="E39" s="21" t="n">
        <f aca="false">IF(D39=0,0,C39/D39)</f>
        <v>0.987422727272727</v>
      </c>
    </row>
    <row r="40" customFormat="false" ht="15" hidden="false" customHeight="false" outlineLevel="0" collapsed="false">
      <c r="A40" s="22" t="str">
        <f aca="false">Lists!F10</f>
        <v>Farid Haddad</v>
      </c>
      <c r="B40" s="22" t="str">
        <f aca="false">Lists!G10</f>
        <v>East</v>
      </c>
      <c r="C40" s="20" t="n">
        <f aca="false">SUMIFS(Data!$K$2:$K$2000,Data!$C$2:$C$2000,A40)</f>
        <v>101279.5</v>
      </c>
      <c r="D40" s="28" t="n">
        <f aca="false">Lists!H10</f>
        <v>95000</v>
      </c>
      <c r="E40" s="21" t="n">
        <f aca="false">IF(D40=0,0,C40/D40)</f>
        <v>1.0661</v>
      </c>
    </row>
    <row r="41" customFormat="false" ht="15" hidden="false" customHeight="false" outlineLevel="0" collapsed="false">
      <c r="A41" s="22" t="str">
        <f aca="false">Lists!F11</f>
        <v>Grace Liu</v>
      </c>
      <c r="B41" s="22" t="str">
        <f aca="false">Lists!G11</f>
        <v>West</v>
      </c>
      <c r="C41" s="20" t="n">
        <f aca="false">SUMIFS(Data!$K$2:$K$2000,Data!$C$2:$C$2000,A41)</f>
        <v>111719</v>
      </c>
      <c r="D41" s="28" t="n">
        <f aca="false">Lists!H11</f>
        <v>98000</v>
      </c>
      <c r="E41" s="21" t="n">
        <f aca="false">IF(D41=0,0,C41/D41)</f>
        <v>1.13998979591837</v>
      </c>
    </row>
    <row r="42" customFormat="false" ht="15" hidden="false" customHeight="false" outlineLevel="0" collapsed="false">
      <c r="A42" s="22" t="str">
        <f aca="false">Lists!F12</f>
        <v>Hugo Martin</v>
      </c>
      <c r="B42" s="22" t="str">
        <f aca="false">Lists!G12</f>
        <v>West</v>
      </c>
      <c r="C42" s="20" t="n">
        <f aca="false">SUMIFS(Data!$K$2:$K$2000,Data!$C$2:$C$2000,A42)</f>
        <v>87776</v>
      </c>
      <c r="D42" s="28" t="n">
        <f aca="false">Lists!H12</f>
        <v>88000</v>
      </c>
      <c r="E42" s="21" t="n">
        <f aca="false">IF(D42=0,0,C42/D42)</f>
        <v>0.997454545454546</v>
      </c>
    </row>
  </sheetData>
  <conditionalFormatting sqref="E35:E42">
    <cfRule type="colorScale" priority="2">
      <colorScale>
        <cfvo type="min" val="0"/>
        <cfvo type="percentile" val="50"/>
        <cfvo type="max" val="0"/>
        <color rgb="FFF8B4B4"/>
        <color rgb="FFFFF2CC"/>
        <color rgb="FFB7E1CD"/>
      </colorScale>
    </cfRule>
  </conditionalFormatting>
  <conditionalFormatting sqref="C23:C30">
    <cfRule type="dataBar" priority="3">
      <dataBar showValue="1" minLength="10" maxLength="90">
        <cfvo type="num" val="0"/>
        <cfvo type="max" val="0"/>
        <color rgb="FF2A9D8F"/>
      </dataBar>
      <extLst>
        <ext xmlns:x14="http://schemas.microsoft.com/office/spreadsheetml/2009/9/main" uri="{B025F937-C7B1-47D3-B67F-A62EFF666E3E}">
          <x14:id>{1AF1F070-71BF-4247-82AF-C6A71A4B551D}</x14:id>
        </ext>
      </extLst>
    </cfRule>
  </conditionalFormatting>
  <conditionalFormatting sqref="E23:E30">
    <cfRule type="colorScale" priority="4">
      <colorScale>
        <cfvo type="min" val="0"/>
        <cfvo type="max" val="0"/>
        <color rgb="FFF8B4B4"/>
        <color rgb="FFB7E1CD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AF1F070-71BF-4247-82AF-C6A71A4B551D}">
            <x14:dataBar minLength="10" maxLength="90" axisPosition="none" gradient="true">
              <x14:cfvo type="num">
                <xm:f>0</xm:f>
              </x14:cfvo>
              <x14:cfvo type="max"/>
              <x14:negativeFillColor rgb="FF2A9D8F"/>
              <x14:axisColor rgb="FF000000"/>
            </x14:dataBar>
          </x14:cfRule>
          <xm:sqref>C23:C30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3"/>
    <col collapsed="false" customWidth="true" hidden="false" outlineLevel="0" max="3" min="3" style="0" width="16"/>
    <col collapsed="false" customWidth="true" hidden="false" outlineLevel="0" max="4" min="4" style="0" width="17"/>
    <col collapsed="false" customWidth="true" hidden="false" outlineLevel="0" max="5" min="5" style="0" width="7"/>
    <col collapsed="false" customWidth="true" hidden="false" outlineLevel="0" max="6" min="6" style="0" width="11"/>
    <col collapsed="false" customWidth="true" hidden="false" outlineLevel="0" max="7" min="7" style="0" width="9"/>
    <col collapsed="false" customWidth="true" hidden="false" outlineLevel="0" max="8" min="8" style="0" width="13"/>
    <col collapsed="false" customWidth="true" hidden="false" outlineLevel="0" max="10" min="9" style="0" width="11"/>
    <col collapsed="false" customWidth="true" hidden="false" outlineLevel="0" max="13" min="11" style="0" width="12"/>
    <col collapsed="false" customWidth="true" hidden="false" outlineLevel="0" max="14" min="14" style="0" width="11"/>
  </cols>
  <sheetData>
    <row r="1" customFormat="false" ht="27.75" hidden="false" customHeight="true" outlineLevel="0" collapsed="false">
      <c r="A1" s="17" t="s">
        <v>53</v>
      </c>
      <c r="B1" s="17" t="s">
        <v>54</v>
      </c>
      <c r="C1" s="17" t="s">
        <v>50</v>
      </c>
      <c r="D1" s="17" t="s">
        <v>42</v>
      </c>
      <c r="E1" s="17" t="s">
        <v>55</v>
      </c>
      <c r="F1" s="17" t="s">
        <v>56</v>
      </c>
      <c r="G1" s="17" t="s">
        <v>21</v>
      </c>
      <c r="H1" s="17" t="s">
        <v>44</v>
      </c>
      <c r="I1" s="17" t="s">
        <v>57</v>
      </c>
      <c r="J1" s="17" t="s">
        <v>58</v>
      </c>
      <c r="K1" s="17" t="s">
        <v>24</v>
      </c>
      <c r="L1" s="17" t="s">
        <v>59</v>
      </c>
      <c r="M1" s="17" t="s">
        <v>25</v>
      </c>
      <c r="N1" s="17" t="s">
        <v>36</v>
      </c>
    </row>
    <row r="2" customFormat="false" ht="15" hidden="false" customHeight="false" outlineLevel="0" collapsed="false">
      <c r="A2" s="29" t="s">
        <v>60</v>
      </c>
      <c r="B2" s="30" t="n">
        <v>45931</v>
      </c>
      <c r="C2" s="29" t="s">
        <v>61</v>
      </c>
      <c r="D2" s="29" t="s">
        <v>62</v>
      </c>
      <c r="E2" s="29" t="n">
        <v>2</v>
      </c>
      <c r="F2" s="31" t="n">
        <v>0.05</v>
      </c>
      <c r="G2" s="14" t="str">
        <f aca="false">INDEX(Lists!$G$5:$G$12,MATCH(C2,Lists!$F$5:$F$12,0))</f>
        <v>South</v>
      </c>
      <c r="H2" s="14" t="str">
        <f aca="false">INDEX(Lists!$B$5:$B$12,MATCH(D2,Lists!$A$5:$A$12,0))</f>
        <v>Computers</v>
      </c>
      <c r="I2" s="32" t="n">
        <f aca="false">INDEX(Lists!$C$5:$C$12,MATCH(D2,Lists!$A$5:$A$12,0))</f>
        <v>1600</v>
      </c>
      <c r="J2" s="32" t="n">
        <f aca="false">INDEX(Lists!$D$5:$D$12,MATCH(D2,Lists!$A$5:$A$12,0))</f>
        <v>1100</v>
      </c>
      <c r="K2" s="32" t="n">
        <f aca="false">E2*I2*(1-F2)</f>
        <v>3040</v>
      </c>
      <c r="L2" s="32" t="n">
        <f aca="false">E2*J2</f>
        <v>2200</v>
      </c>
      <c r="M2" s="32" t="n">
        <f aca="false">K2-L2</f>
        <v>840</v>
      </c>
      <c r="N2" s="33" t="n">
        <f aca="false">DATE(YEAR(B2),MONTH(B2),1)</f>
        <v>45931</v>
      </c>
    </row>
    <row r="3" customFormat="false" ht="15" hidden="false" customHeight="false" outlineLevel="0" collapsed="false">
      <c r="A3" s="29" t="s">
        <v>63</v>
      </c>
      <c r="B3" s="30" t="n">
        <v>45931</v>
      </c>
      <c r="C3" s="29" t="s">
        <v>64</v>
      </c>
      <c r="D3" s="29" t="s">
        <v>65</v>
      </c>
      <c r="E3" s="29" t="n">
        <v>6</v>
      </c>
      <c r="F3" s="31" t="n">
        <v>0.05</v>
      </c>
      <c r="G3" s="14" t="str">
        <f aca="false">INDEX(Lists!$G$5:$G$12,MATCH(C3,Lists!$F$5:$F$12,0))</f>
        <v>East</v>
      </c>
      <c r="H3" s="14" t="str">
        <f aca="false">INDEX(Lists!$B$5:$B$12,MATCH(D3,Lists!$A$5:$A$12,0))</f>
        <v>Accessories</v>
      </c>
      <c r="I3" s="32" t="n">
        <f aca="false">INDEX(Lists!$C$5:$C$12,MATCH(D3,Lists!$A$5:$A$12,0))</f>
        <v>260</v>
      </c>
      <c r="J3" s="32" t="n">
        <f aca="false">INDEX(Lists!$D$5:$D$12,MATCH(D3,Lists!$A$5:$A$12,0))</f>
        <v>150</v>
      </c>
      <c r="K3" s="32" t="n">
        <f aca="false">E3*I3*(1-F3)</f>
        <v>1482</v>
      </c>
      <c r="L3" s="32" t="n">
        <f aca="false">E3*J3</f>
        <v>900</v>
      </c>
      <c r="M3" s="32" t="n">
        <f aca="false">K3-L3</f>
        <v>582</v>
      </c>
      <c r="N3" s="33" t="n">
        <f aca="false">DATE(YEAR(B3),MONTH(B3),1)</f>
        <v>45931</v>
      </c>
    </row>
    <row r="4" customFormat="false" ht="15" hidden="false" customHeight="false" outlineLevel="0" collapsed="false">
      <c r="A4" s="29" t="s">
        <v>66</v>
      </c>
      <c r="B4" s="30" t="n">
        <v>45933</v>
      </c>
      <c r="C4" s="29" t="s">
        <v>64</v>
      </c>
      <c r="D4" s="29" t="s">
        <v>67</v>
      </c>
      <c r="E4" s="29" t="n">
        <v>15</v>
      </c>
      <c r="F4" s="31" t="n">
        <v>0</v>
      </c>
      <c r="G4" s="14" t="str">
        <f aca="false">INDEX(Lists!$G$5:$G$12,MATCH(C4,Lists!$F$5:$F$12,0))</f>
        <v>East</v>
      </c>
      <c r="H4" s="14" t="str">
        <f aca="false">INDEX(Lists!$B$5:$B$12,MATCH(D4,Lists!$A$5:$A$12,0))</f>
        <v>Accessories</v>
      </c>
      <c r="I4" s="32" t="n">
        <f aca="false">INDEX(Lists!$C$5:$C$12,MATCH(D4,Lists!$A$5:$A$12,0))</f>
        <v>120</v>
      </c>
      <c r="J4" s="32" t="n">
        <f aca="false">INDEX(Lists!$D$5:$D$12,MATCH(D4,Lists!$A$5:$A$12,0))</f>
        <v>62</v>
      </c>
      <c r="K4" s="32" t="n">
        <f aca="false">E4*I4*(1-F4)</f>
        <v>1800</v>
      </c>
      <c r="L4" s="32" t="n">
        <f aca="false">E4*J4</f>
        <v>930</v>
      </c>
      <c r="M4" s="32" t="n">
        <f aca="false">K4-L4</f>
        <v>870</v>
      </c>
      <c r="N4" s="33" t="n">
        <f aca="false">DATE(YEAR(B4),MONTH(B4),1)</f>
        <v>45931</v>
      </c>
    </row>
    <row r="5" customFormat="false" ht="15" hidden="false" customHeight="false" outlineLevel="0" collapsed="false">
      <c r="A5" s="29" t="s">
        <v>68</v>
      </c>
      <c r="B5" s="30" t="n">
        <v>45933</v>
      </c>
      <c r="C5" s="29" t="s">
        <v>69</v>
      </c>
      <c r="D5" s="29" t="s">
        <v>70</v>
      </c>
      <c r="E5" s="29" t="n">
        <v>2</v>
      </c>
      <c r="F5" s="31" t="n">
        <v>0</v>
      </c>
      <c r="G5" s="14" t="str">
        <f aca="false">INDEX(Lists!$G$5:$G$12,MATCH(C5,Lists!$F$5:$F$12,0))</f>
        <v>East</v>
      </c>
      <c r="H5" s="14" t="str">
        <f aca="false">INDEX(Lists!$B$5:$B$12,MATCH(D5,Lists!$A$5:$A$12,0))</f>
        <v>Displays</v>
      </c>
      <c r="I5" s="32" t="n">
        <f aca="false">INDEX(Lists!$C$5:$C$12,MATCH(D5,Lists!$A$5:$A$12,0))</f>
        <v>520</v>
      </c>
      <c r="J5" s="32" t="n">
        <f aca="false">INDEX(Lists!$D$5:$D$12,MATCH(D5,Lists!$A$5:$A$12,0))</f>
        <v>340</v>
      </c>
      <c r="K5" s="32" t="n">
        <f aca="false">E5*I5*(1-F5)</f>
        <v>1040</v>
      </c>
      <c r="L5" s="32" t="n">
        <f aca="false">E5*J5</f>
        <v>680</v>
      </c>
      <c r="M5" s="32" t="n">
        <f aca="false">K5-L5</f>
        <v>360</v>
      </c>
      <c r="N5" s="33" t="n">
        <f aca="false">DATE(YEAR(B5),MONTH(B5),1)</f>
        <v>45931</v>
      </c>
    </row>
    <row r="6" customFormat="false" ht="15" hidden="false" customHeight="false" outlineLevel="0" collapsed="false">
      <c r="A6" s="29" t="s">
        <v>71</v>
      </c>
      <c r="B6" s="30" t="n">
        <v>45933</v>
      </c>
      <c r="C6" s="29" t="s">
        <v>64</v>
      </c>
      <c r="D6" s="29" t="s">
        <v>72</v>
      </c>
      <c r="E6" s="29" t="n">
        <v>18</v>
      </c>
      <c r="F6" s="31" t="n">
        <v>0</v>
      </c>
      <c r="G6" s="14" t="str">
        <f aca="false">INDEX(Lists!$G$5:$G$12,MATCH(C6,Lists!$F$5:$F$12,0))</f>
        <v>East</v>
      </c>
      <c r="H6" s="14" t="str">
        <f aca="false">INDEX(Lists!$B$5:$B$12,MATCH(D6,Lists!$A$5:$A$12,0))</f>
        <v>Accessories</v>
      </c>
      <c r="I6" s="32" t="n">
        <f aca="false">INDEX(Lists!$C$5:$C$12,MATCH(D6,Lists!$A$5:$A$12,0))</f>
        <v>80</v>
      </c>
      <c r="J6" s="32" t="n">
        <f aca="false">INDEX(Lists!$D$5:$D$12,MATCH(D6,Lists!$A$5:$A$12,0))</f>
        <v>38</v>
      </c>
      <c r="K6" s="32" t="n">
        <f aca="false">E6*I6*(1-F6)</f>
        <v>1440</v>
      </c>
      <c r="L6" s="32" t="n">
        <f aca="false">E6*J6</f>
        <v>684</v>
      </c>
      <c r="M6" s="32" t="n">
        <f aca="false">K6-L6</f>
        <v>756</v>
      </c>
      <c r="N6" s="33" t="n">
        <f aca="false">DATE(YEAR(B6),MONTH(B6),1)</f>
        <v>45931</v>
      </c>
    </row>
    <row r="7" customFormat="false" ht="15" hidden="false" customHeight="false" outlineLevel="0" collapsed="false">
      <c r="A7" s="29" t="s">
        <v>73</v>
      </c>
      <c r="B7" s="30" t="n">
        <v>45933</v>
      </c>
      <c r="C7" s="29" t="s">
        <v>74</v>
      </c>
      <c r="D7" s="29" t="s">
        <v>75</v>
      </c>
      <c r="E7" s="29" t="n">
        <v>7</v>
      </c>
      <c r="F7" s="31" t="n">
        <v>0</v>
      </c>
      <c r="G7" s="14" t="str">
        <f aca="false">INDEX(Lists!$G$5:$G$12,MATCH(C7,Lists!$F$5:$F$12,0))</f>
        <v>South</v>
      </c>
      <c r="H7" s="14" t="str">
        <f aca="false">INDEX(Lists!$B$5:$B$12,MATCH(D7,Lists!$A$5:$A$12,0))</f>
        <v>Audio</v>
      </c>
      <c r="I7" s="32" t="n">
        <f aca="false">INDEX(Lists!$C$5:$C$12,MATCH(D7,Lists!$A$5:$A$12,0))</f>
        <v>140</v>
      </c>
      <c r="J7" s="32" t="n">
        <f aca="false">INDEX(Lists!$D$5:$D$12,MATCH(D7,Lists!$A$5:$A$12,0))</f>
        <v>70</v>
      </c>
      <c r="K7" s="32" t="n">
        <f aca="false">E7*I7*(1-F7)</f>
        <v>980</v>
      </c>
      <c r="L7" s="32" t="n">
        <f aca="false">E7*J7</f>
        <v>490</v>
      </c>
      <c r="M7" s="32" t="n">
        <f aca="false">K7-L7</f>
        <v>490</v>
      </c>
      <c r="N7" s="33" t="n">
        <f aca="false">DATE(YEAR(B7),MONTH(B7),1)</f>
        <v>45931</v>
      </c>
    </row>
    <row r="8" customFormat="false" ht="15" hidden="false" customHeight="false" outlineLevel="0" collapsed="false">
      <c r="A8" s="29" t="s">
        <v>76</v>
      </c>
      <c r="B8" s="30" t="n">
        <v>45937</v>
      </c>
      <c r="C8" s="29" t="s">
        <v>69</v>
      </c>
      <c r="D8" s="29" t="s">
        <v>72</v>
      </c>
      <c r="E8" s="29" t="n">
        <v>19</v>
      </c>
      <c r="F8" s="31" t="n">
        <v>0.1</v>
      </c>
      <c r="G8" s="14" t="str">
        <f aca="false">INDEX(Lists!$G$5:$G$12,MATCH(C8,Lists!$F$5:$F$12,0))</f>
        <v>East</v>
      </c>
      <c r="H8" s="14" t="str">
        <f aca="false">INDEX(Lists!$B$5:$B$12,MATCH(D8,Lists!$A$5:$A$12,0))</f>
        <v>Accessories</v>
      </c>
      <c r="I8" s="32" t="n">
        <f aca="false">INDEX(Lists!$C$5:$C$12,MATCH(D8,Lists!$A$5:$A$12,0))</f>
        <v>80</v>
      </c>
      <c r="J8" s="32" t="n">
        <f aca="false">INDEX(Lists!$D$5:$D$12,MATCH(D8,Lists!$A$5:$A$12,0))</f>
        <v>38</v>
      </c>
      <c r="K8" s="32" t="n">
        <f aca="false">E8*I8*(1-F8)</f>
        <v>1368</v>
      </c>
      <c r="L8" s="32" t="n">
        <f aca="false">E8*J8</f>
        <v>722</v>
      </c>
      <c r="M8" s="32" t="n">
        <f aca="false">K8-L8</f>
        <v>646</v>
      </c>
      <c r="N8" s="33" t="n">
        <f aca="false">DATE(YEAR(B8),MONTH(B8),1)</f>
        <v>45931</v>
      </c>
    </row>
    <row r="9" customFormat="false" ht="15" hidden="false" customHeight="false" outlineLevel="0" collapsed="false">
      <c r="A9" s="29" t="s">
        <v>77</v>
      </c>
      <c r="B9" s="30" t="n">
        <v>45937</v>
      </c>
      <c r="C9" s="29" t="s">
        <v>69</v>
      </c>
      <c r="D9" s="29" t="s">
        <v>75</v>
      </c>
      <c r="E9" s="29" t="n">
        <v>7</v>
      </c>
      <c r="F9" s="31" t="n">
        <v>0</v>
      </c>
      <c r="G9" s="14" t="str">
        <f aca="false">INDEX(Lists!$G$5:$G$12,MATCH(C9,Lists!$F$5:$F$12,0))</f>
        <v>East</v>
      </c>
      <c r="H9" s="14" t="str">
        <f aca="false">INDEX(Lists!$B$5:$B$12,MATCH(D9,Lists!$A$5:$A$12,0))</f>
        <v>Audio</v>
      </c>
      <c r="I9" s="32" t="n">
        <f aca="false">INDEX(Lists!$C$5:$C$12,MATCH(D9,Lists!$A$5:$A$12,0))</f>
        <v>140</v>
      </c>
      <c r="J9" s="32" t="n">
        <f aca="false">INDEX(Lists!$D$5:$D$12,MATCH(D9,Lists!$A$5:$A$12,0))</f>
        <v>70</v>
      </c>
      <c r="K9" s="32" t="n">
        <f aca="false">E9*I9*(1-F9)</f>
        <v>980</v>
      </c>
      <c r="L9" s="32" t="n">
        <f aca="false">E9*J9</f>
        <v>490</v>
      </c>
      <c r="M9" s="32" t="n">
        <f aca="false">K9-L9</f>
        <v>490</v>
      </c>
      <c r="N9" s="33" t="n">
        <f aca="false">DATE(YEAR(B9),MONTH(B9),1)</f>
        <v>45931</v>
      </c>
    </row>
    <row r="10" customFormat="false" ht="15" hidden="false" customHeight="false" outlineLevel="0" collapsed="false">
      <c r="A10" s="29" t="s">
        <v>78</v>
      </c>
      <c r="B10" s="30" t="n">
        <v>45938</v>
      </c>
      <c r="C10" s="29" t="s">
        <v>64</v>
      </c>
      <c r="D10" s="29" t="s">
        <v>65</v>
      </c>
      <c r="E10" s="29" t="n">
        <v>5</v>
      </c>
      <c r="F10" s="31" t="n">
        <v>0</v>
      </c>
      <c r="G10" s="14" t="str">
        <f aca="false">INDEX(Lists!$G$5:$G$12,MATCH(C10,Lists!$F$5:$F$12,0))</f>
        <v>East</v>
      </c>
      <c r="H10" s="14" t="str">
        <f aca="false">INDEX(Lists!$B$5:$B$12,MATCH(D10,Lists!$A$5:$A$12,0))</f>
        <v>Accessories</v>
      </c>
      <c r="I10" s="32" t="n">
        <f aca="false">INDEX(Lists!$C$5:$C$12,MATCH(D10,Lists!$A$5:$A$12,0))</f>
        <v>260</v>
      </c>
      <c r="J10" s="32" t="n">
        <f aca="false">INDEX(Lists!$D$5:$D$12,MATCH(D10,Lists!$A$5:$A$12,0))</f>
        <v>150</v>
      </c>
      <c r="K10" s="32" t="n">
        <f aca="false">E10*I10*(1-F10)</f>
        <v>1300</v>
      </c>
      <c r="L10" s="32" t="n">
        <f aca="false">E10*J10</f>
        <v>750</v>
      </c>
      <c r="M10" s="32" t="n">
        <f aca="false">K10-L10</f>
        <v>550</v>
      </c>
      <c r="N10" s="33" t="n">
        <f aca="false">DATE(YEAR(B10),MONTH(B10),1)</f>
        <v>45931</v>
      </c>
    </row>
    <row r="11" customFormat="false" ht="15" hidden="false" customHeight="false" outlineLevel="0" collapsed="false">
      <c r="A11" s="29" t="s">
        <v>79</v>
      </c>
      <c r="B11" s="30" t="n">
        <v>45940</v>
      </c>
      <c r="C11" s="29" t="s">
        <v>74</v>
      </c>
      <c r="D11" s="29" t="s">
        <v>80</v>
      </c>
      <c r="E11" s="29" t="n">
        <v>1</v>
      </c>
      <c r="F11" s="31" t="n">
        <v>0</v>
      </c>
      <c r="G11" s="14" t="str">
        <f aca="false">INDEX(Lists!$G$5:$G$12,MATCH(C11,Lists!$F$5:$F$12,0))</f>
        <v>South</v>
      </c>
      <c r="H11" s="14" t="str">
        <f aca="false">INDEX(Lists!$B$5:$B$12,MATCH(D11,Lists!$A$5:$A$12,0))</f>
        <v>Computers</v>
      </c>
      <c r="I11" s="32" t="n">
        <f aca="false">INDEX(Lists!$C$5:$C$12,MATCH(D11,Lists!$A$5:$A$12,0))</f>
        <v>2400</v>
      </c>
      <c r="J11" s="32" t="n">
        <f aca="false">INDEX(Lists!$D$5:$D$12,MATCH(D11,Lists!$A$5:$A$12,0))</f>
        <v>1650</v>
      </c>
      <c r="K11" s="32" t="n">
        <f aca="false">E11*I11*(1-F11)</f>
        <v>2400</v>
      </c>
      <c r="L11" s="32" t="n">
        <f aca="false">E11*J11</f>
        <v>1650</v>
      </c>
      <c r="M11" s="32" t="n">
        <f aca="false">K11-L11</f>
        <v>750</v>
      </c>
      <c r="N11" s="33" t="n">
        <f aca="false">DATE(YEAR(B11),MONTH(B11),1)</f>
        <v>45931</v>
      </c>
    </row>
    <row r="12" customFormat="false" ht="15" hidden="false" customHeight="false" outlineLevel="0" collapsed="false">
      <c r="A12" s="29" t="s">
        <v>81</v>
      </c>
      <c r="B12" s="30" t="n">
        <v>45940</v>
      </c>
      <c r="C12" s="29" t="s">
        <v>69</v>
      </c>
      <c r="D12" s="29" t="s">
        <v>75</v>
      </c>
      <c r="E12" s="29" t="n">
        <v>5</v>
      </c>
      <c r="F12" s="31" t="n">
        <v>0.1</v>
      </c>
      <c r="G12" s="14" t="str">
        <f aca="false">INDEX(Lists!$G$5:$G$12,MATCH(C12,Lists!$F$5:$F$12,0))</f>
        <v>East</v>
      </c>
      <c r="H12" s="14" t="str">
        <f aca="false">INDEX(Lists!$B$5:$B$12,MATCH(D12,Lists!$A$5:$A$12,0))</f>
        <v>Audio</v>
      </c>
      <c r="I12" s="32" t="n">
        <f aca="false">INDEX(Lists!$C$5:$C$12,MATCH(D12,Lists!$A$5:$A$12,0))</f>
        <v>140</v>
      </c>
      <c r="J12" s="32" t="n">
        <f aca="false">INDEX(Lists!$D$5:$D$12,MATCH(D12,Lists!$A$5:$A$12,0))</f>
        <v>70</v>
      </c>
      <c r="K12" s="32" t="n">
        <f aca="false">E12*I12*(1-F12)</f>
        <v>630</v>
      </c>
      <c r="L12" s="32" t="n">
        <f aca="false">E12*J12</f>
        <v>350</v>
      </c>
      <c r="M12" s="32" t="n">
        <f aca="false">K12-L12</f>
        <v>280</v>
      </c>
      <c r="N12" s="33" t="n">
        <f aca="false">DATE(YEAR(B12),MONTH(B12),1)</f>
        <v>45931</v>
      </c>
    </row>
    <row r="13" customFormat="false" ht="15" hidden="false" customHeight="false" outlineLevel="0" collapsed="false">
      <c r="A13" s="29" t="s">
        <v>82</v>
      </c>
      <c r="B13" s="30" t="n">
        <v>45940</v>
      </c>
      <c r="C13" s="29" t="s">
        <v>83</v>
      </c>
      <c r="D13" s="29" t="s">
        <v>72</v>
      </c>
      <c r="E13" s="29" t="n">
        <v>1</v>
      </c>
      <c r="F13" s="31" t="n">
        <v>0</v>
      </c>
      <c r="G13" s="14" t="str">
        <f aca="false">INDEX(Lists!$G$5:$G$12,MATCH(C13,Lists!$F$5:$F$12,0))</f>
        <v>West</v>
      </c>
      <c r="H13" s="14" t="str">
        <f aca="false">INDEX(Lists!$B$5:$B$12,MATCH(D13,Lists!$A$5:$A$12,0))</f>
        <v>Accessories</v>
      </c>
      <c r="I13" s="32" t="n">
        <f aca="false">INDEX(Lists!$C$5:$C$12,MATCH(D13,Lists!$A$5:$A$12,0))</f>
        <v>80</v>
      </c>
      <c r="J13" s="32" t="n">
        <f aca="false">INDEX(Lists!$D$5:$D$12,MATCH(D13,Lists!$A$5:$A$12,0))</f>
        <v>38</v>
      </c>
      <c r="K13" s="32" t="n">
        <f aca="false">E13*I13*(1-F13)</f>
        <v>80</v>
      </c>
      <c r="L13" s="32" t="n">
        <f aca="false">E13*J13</f>
        <v>38</v>
      </c>
      <c r="M13" s="32" t="n">
        <f aca="false">K13-L13</f>
        <v>42</v>
      </c>
      <c r="N13" s="33" t="n">
        <f aca="false">DATE(YEAR(B13),MONTH(B13),1)</f>
        <v>45931</v>
      </c>
    </row>
    <row r="14" customFormat="false" ht="15" hidden="false" customHeight="false" outlineLevel="0" collapsed="false">
      <c r="A14" s="29" t="s">
        <v>84</v>
      </c>
      <c r="B14" s="30" t="n">
        <v>45941</v>
      </c>
      <c r="C14" s="29" t="s">
        <v>83</v>
      </c>
      <c r="D14" s="29" t="s">
        <v>67</v>
      </c>
      <c r="E14" s="29" t="n">
        <v>15</v>
      </c>
      <c r="F14" s="31" t="n">
        <v>0.05</v>
      </c>
      <c r="G14" s="14" t="str">
        <f aca="false">INDEX(Lists!$G$5:$G$12,MATCH(C14,Lists!$F$5:$F$12,0))</f>
        <v>West</v>
      </c>
      <c r="H14" s="14" t="str">
        <f aca="false">INDEX(Lists!$B$5:$B$12,MATCH(D14,Lists!$A$5:$A$12,0))</f>
        <v>Accessories</v>
      </c>
      <c r="I14" s="32" t="n">
        <f aca="false">INDEX(Lists!$C$5:$C$12,MATCH(D14,Lists!$A$5:$A$12,0))</f>
        <v>120</v>
      </c>
      <c r="J14" s="32" t="n">
        <f aca="false">INDEX(Lists!$D$5:$D$12,MATCH(D14,Lists!$A$5:$A$12,0))</f>
        <v>62</v>
      </c>
      <c r="K14" s="32" t="n">
        <f aca="false">E14*I14*(1-F14)</f>
        <v>1710</v>
      </c>
      <c r="L14" s="32" t="n">
        <f aca="false">E14*J14</f>
        <v>930</v>
      </c>
      <c r="M14" s="32" t="n">
        <f aca="false">K14-L14</f>
        <v>780</v>
      </c>
      <c r="N14" s="33" t="n">
        <f aca="false">DATE(YEAR(B14),MONTH(B14),1)</f>
        <v>45931</v>
      </c>
    </row>
    <row r="15" customFormat="false" ht="15" hidden="false" customHeight="false" outlineLevel="0" collapsed="false">
      <c r="A15" s="29" t="s">
        <v>85</v>
      </c>
      <c r="B15" s="30" t="n">
        <v>45942</v>
      </c>
      <c r="C15" s="29" t="s">
        <v>86</v>
      </c>
      <c r="D15" s="29" t="s">
        <v>65</v>
      </c>
      <c r="E15" s="29" t="n">
        <v>8</v>
      </c>
      <c r="F15" s="31" t="n">
        <v>0</v>
      </c>
      <c r="G15" s="14" t="str">
        <f aca="false">INDEX(Lists!$G$5:$G$12,MATCH(C15,Lists!$F$5:$F$12,0))</f>
        <v>North</v>
      </c>
      <c r="H15" s="14" t="str">
        <f aca="false">INDEX(Lists!$B$5:$B$12,MATCH(D15,Lists!$A$5:$A$12,0))</f>
        <v>Accessories</v>
      </c>
      <c r="I15" s="32" t="n">
        <f aca="false">INDEX(Lists!$C$5:$C$12,MATCH(D15,Lists!$A$5:$A$12,0))</f>
        <v>260</v>
      </c>
      <c r="J15" s="32" t="n">
        <f aca="false">INDEX(Lists!$D$5:$D$12,MATCH(D15,Lists!$A$5:$A$12,0))</f>
        <v>150</v>
      </c>
      <c r="K15" s="32" t="n">
        <f aca="false">E15*I15*(1-F15)</f>
        <v>2080</v>
      </c>
      <c r="L15" s="32" t="n">
        <f aca="false">E15*J15</f>
        <v>1200</v>
      </c>
      <c r="M15" s="32" t="n">
        <f aca="false">K15-L15</f>
        <v>880</v>
      </c>
      <c r="N15" s="33" t="n">
        <f aca="false">DATE(YEAR(B15),MONTH(B15),1)</f>
        <v>45931</v>
      </c>
    </row>
    <row r="16" customFormat="false" ht="15" hidden="false" customHeight="false" outlineLevel="0" collapsed="false">
      <c r="A16" s="29" t="s">
        <v>87</v>
      </c>
      <c r="B16" s="30" t="n">
        <v>45942</v>
      </c>
      <c r="C16" s="29" t="s">
        <v>88</v>
      </c>
      <c r="D16" s="29" t="s">
        <v>62</v>
      </c>
      <c r="E16" s="29" t="n">
        <v>4</v>
      </c>
      <c r="F16" s="31" t="n">
        <v>0.05</v>
      </c>
      <c r="G16" s="14" t="str">
        <f aca="false">INDEX(Lists!$G$5:$G$12,MATCH(C16,Lists!$F$5:$F$12,0))</f>
        <v>North</v>
      </c>
      <c r="H16" s="14" t="str">
        <f aca="false">INDEX(Lists!$B$5:$B$12,MATCH(D16,Lists!$A$5:$A$12,0))</f>
        <v>Computers</v>
      </c>
      <c r="I16" s="32" t="n">
        <f aca="false">INDEX(Lists!$C$5:$C$12,MATCH(D16,Lists!$A$5:$A$12,0))</f>
        <v>1600</v>
      </c>
      <c r="J16" s="32" t="n">
        <f aca="false">INDEX(Lists!$D$5:$D$12,MATCH(D16,Lists!$A$5:$A$12,0))</f>
        <v>1100</v>
      </c>
      <c r="K16" s="32" t="n">
        <f aca="false">E16*I16*(1-F16)</f>
        <v>6080</v>
      </c>
      <c r="L16" s="32" t="n">
        <f aca="false">E16*J16</f>
        <v>4400</v>
      </c>
      <c r="M16" s="32" t="n">
        <f aca="false">K16-L16</f>
        <v>1680</v>
      </c>
      <c r="N16" s="33" t="n">
        <f aca="false">DATE(YEAR(B16),MONTH(B16),1)</f>
        <v>45931</v>
      </c>
    </row>
    <row r="17" customFormat="false" ht="15" hidden="false" customHeight="false" outlineLevel="0" collapsed="false">
      <c r="A17" s="29" t="s">
        <v>89</v>
      </c>
      <c r="B17" s="30" t="n">
        <v>45943</v>
      </c>
      <c r="C17" s="29" t="s">
        <v>86</v>
      </c>
      <c r="D17" s="29" t="s">
        <v>62</v>
      </c>
      <c r="E17" s="29" t="n">
        <v>2</v>
      </c>
      <c r="F17" s="31" t="n">
        <v>0</v>
      </c>
      <c r="G17" s="14" t="str">
        <f aca="false">INDEX(Lists!$G$5:$G$12,MATCH(C17,Lists!$F$5:$F$12,0))</f>
        <v>North</v>
      </c>
      <c r="H17" s="14" t="str">
        <f aca="false">INDEX(Lists!$B$5:$B$12,MATCH(D17,Lists!$A$5:$A$12,0))</f>
        <v>Computers</v>
      </c>
      <c r="I17" s="32" t="n">
        <f aca="false">INDEX(Lists!$C$5:$C$12,MATCH(D17,Lists!$A$5:$A$12,0))</f>
        <v>1600</v>
      </c>
      <c r="J17" s="32" t="n">
        <f aca="false">INDEX(Lists!$D$5:$D$12,MATCH(D17,Lists!$A$5:$A$12,0))</f>
        <v>1100</v>
      </c>
      <c r="K17" s="32" t="n">
        <f aca="false">E17*I17*(1-F17)</f>
        <v>3200</v>
      </c>
      <c r="L17" s="32" t="n">
        <f aca="false">E17*J17</f>
        <v>2200</v>
      </c>
      <c r="M17" s="32" t="n">
        <f aca="false">K17-L17</f>
        <v>1000</v>
      </c>
      <c r="N17" s="33" t="n">
        <f aca="false">DATE(YEAR(B17),MONTH(B17),1)</f>
        <v>45931</v>
      </c>
    </row>
    <row r="18" customFormat="false" ht="15" hidden="false" customHeight="false" outlineLevel="0" collapsed="false">
      <c r="A18" s="29" t="s">
        <v>90</v>
      </c>
      <c r="B18" s="30" t="n">
        <v>45943</v>
      </c>
      <c r="C18" s="29" t="s">
        <v>69</v>
      </c>
      <c r="D18" s="29" t="s">
        <v>91</v>
      </c>
      <c r="E18" s="29" t="n">
        <v>8</v>
      </c>
      <c r="F18" s="31" t="n">
        <v>0</v>
      </c>
      <c r="G18" s="14" t="str">
        <f aca="false">INDEX(Lists!$G$5:$G$12,MATCH(C18,Lists!$F$5:$F$12,0))</f>
        <v>East</v>
      </c>
      <c r="H18" s="14" t="str">
        <f aca="false">INDEX(Lists!$B$5:$B$12,MATCH(D18,Lists!$A$5:$A$12,0))</f>
        <v>Audio</v>
      </c>
      <c r="I18" s="32" t="n">
        <f aca="false">INDEX(Lists!$C$5:$C$12,MATCH(D18,Lists!$A$5:$A$12,0))</f>
        <v>190</v>
      </c>
      <c r="J18" s="32" t="n">
        <f aca="false">INDEX(Lists!$D$5:$D$12,MATCH(D18,Lists!$A$5:$A$12,0))</f>
        <v>105</v>
      </c>
      <c r="K18" s="32" t="n">
        <f aca="false">E18*I18*(1-F18)</f>
        <v>1520</v>
      </c>
      <c r="L18" s="32" t="n">
        <f aca="false">E18*J18</f>
        <v>840</v>
      </c>
      <c r="M18" s="32" t="n">
        <f aca="false">K18-L18</f>
        <v>680</v>
      </c>
      <c r="N18" s="33" t="n">
        <f aca="false">DATE(YEAR(B18),MONTH(B18),1)</f>
        <v>45931</v>
      </c>
    </row>
    <row r="19" customFormat="false" ht="15" hidden="false" customHeight="false" outlineLevel="0" collapsed="false">
      <c r="A19" s="29" t="s">
        <v>92</v>
      </c>
      <c r="B19" s="30" t="n">
        <v>45943</v>
      </c>
      <c r="C19" s="29" t="s">
        <v>93</v>
      </c>
      <c r="D19" s="29" t="s">
        <v>62</v>
      </c>
      <c r="E19" s="29" t="n">
        <v>2</v>
      </c>
      <c r="F19" s="31" t="n">
        <v>0.05</v>
      </c>
      <c r="G19" s="14" t="str">
        <f aca="false">INDEX(Lists!$G$5:$G$12,MATCH(C19,Lists!$F$5:$F$12,0))</f>
        <v>West</v>
      </c>
      <c r="H19" s="14" t="str">
        <f aca="false">INDEX(Lists!$B$5:$B$12,MATCH(D19,Lists!$A$5:$A$12,0))</f>
        <v>Computers</v>
      </c>
      <c r="I19" s="32" t="n">
        <f aca="false">INDEX(Lists!$C$5:$C$12,MATCH(D19,Lists!$A$5:$A$12,0))</f>
        <v>1600</v>
      </c>
      <c r="J19" s="32" t="n">
        <f aca="false">INDEX(Lists!$D$5:$D$12,MATCH(D19,Lists!$A$5:$A$12,0))</f>
        <v>1100</v>
      </c>
      <c r="K19" s="32" t="n">
        <f aca="false">E19*I19*(1-F19)</f>
        <v>3040</v>
      </c>
      <c r="L19" s="32" t="n">
        <f aca="false">E19*J19</f>
        <v>2200</v>
      </c>
      <c r="M19" s="32" t="n">
        <f aca="false">K19-L19</f>
        <v>840</v>
      </c>
      <c r="N19" s="33" t="n">
        <f aca="false">DATE(YEAR(B19),MONTH(B19),1)</f>
        <v>45931</v>
      </c>
    </row>
    <row r="20" customFormat="false" ht="15" hidden="false" customHeight="false" outlineLevel="0" collapsed="false">
      <c r="A20" s="29" t="s">
        <v>94</v>
      </c>
      <c r="B20" s="30" t="n">
        <v>45944</v>
      </c>
      <c r="C20" s="29" t="s">
        <v>93</v>
      </c>
      <c r="D20" s="29" t="s">
        <v>72</v>
      </c>
      <c r="E20" s="29" t="n">
        <v>15</v>
      </c>
      <c r="F20" s="31" t="n">
        <v>0.05</v>
      </c>
      <c r="G20" s="14" t="str">
        <f aca="false">INDEX(Lists!$G$5:$G$12,MATCH(C20,Lists!$F$5:$F$12,0))</f>
        <v>West</v>
      </c>
      <c r="H20" s="14" t="str">
        <f aca="false">INDEX(Lists!$B$5:$B$12,MATCH(D20,Lists!$A$5:$A$12,0))</f>
        <v>Accessories</v>
      </c>
      <c r="I20" s="32" t="n">
        <f aca="false">INDEX(Lists!$C$5:$C$12,MATCH(D20,Lists!$A$5:$A$12,0))</f>
        <v>80</v>
      </c>
      <c r="J20" s="32" t="n">
        <f aca="false">INDEX(Lists!$D$5:$D$12,MATCH(D20,Lists!$A$5:$A$12,0))</f>
        <v>38</v>
      </c>
      <c r="K20" s="32" t="n">
        <f aca="false">E20*I20*(1-F20)</f>
        <v>1140</v>
      </c>
      <c r="L20" s="32" t="n">
        <f aca="false">E20*J20</f>
        <v>570</v>
      </c>
      <c r="M20" s="32" t="n">
        <f aca="false">K20-L20</f>
        <v>570</v>
      </c>
      <c r="N20" s="33" t="n">
        <f aca="false">DATE(YEAR(B20),MONTH(B20),1)</f>
        <v>45931</v>
      </c>
    </row>
    <row r="21" customFormat="false" ht="15" hidden="false" customHeight="false" outlineLevel="0" collapsed="false">
      <c r="A21" s="29" t="s">
        <v>95</v>
      </c>
      <c r="B21" s="30" t="n">
        <v>45945</v>
      </c>
      <c r="C21" s="29" t="s">
        <v>93</v>
      </c>
      <c r="D21" s="29" t="s">
        <v>65</v>
      </c>
      <c r="E21" s="29" t="n">
        <v>1</v>
      </c>
      <c r="F21" s="31" t="n">
        <v>0</v>
      </c>
      <c r="G21" s="14" t="str">
        <f aca="false">INDEX(Lists!$G$5:$G$12,MATCH(C21,Lists!$F$5:$F$12,0))</f>
        <v>West</v>
      </c>
      <c r="H21" s="14" t="str">
        <f aca="false">INDEX(Lists!$B$5:$B$12,MATCH(D21,Lists!$A$5:$A$12,0))</f>
        <v>Accessories</v>
      </c>
      <c r="I21" s="32" t="n">
        <f aca="false">INDEX(Lists!$C$5:$C$12,MATCH(D21,Lists!$A$5:$A$12,0))</f>
        <v>260</v>
      </c>
      <c r="J21" s="32" t="n">
        <f aca="false">INDEX(Lists!$D$5:$D$12,MATCH(D21,Lists!$A$5:$A$12,0))</f>
        <v>150</v>
      </c>
      <c r="K21" s="32" t="n">
        <f aca="false">E21*I21*(1-F21)</f>
        <v>260</v>
      </c>
      <c r="L21" s="32" t="n">
        <f aca="false">E21*J21</f>
        <v>150</v>
      </c>
      <c r="M21" s="32" t="n">
        <f aca="false">K21-L21</f>
        <v>110</v>
      </c>
      <c r="N21" s="33" t="n">
        <f aca="false">DATE(YEAR(B21),MONTH(B21),1)</f>
        <v>45931</v>
      </c>
    </row>
    <row r="22" customFormat="false" ht="15" hidden="false" customHeight="false" outlineLevel="0" collapsed="false">
      <c r="A22" s="29" t="s">
        <v>96</v>
      </c>
      <c r="B22" s="30" t="n">
        <v>45951</v>
      </c>
      <c r="C22" s="29" t="s">
        <v>88</v>
      </c>
      <c r="D22" s="29" t="s">
        <v>72</v>
      </c>
      <c r="E22" s="29" t="n">
        <v>7</v>
      </c>
      <c r="F22" s="31" t="n">
        <v>0.15</v>
      </c>
      <c r="G22" s="14" t="str">
        <f aca="false">INDEX(Lists!$G$5:$G$12,MATCH(C22,Lists!$F$5:$F$12,0))</f>
        <v>North</v>
      </c>
      <c r="H22" s="14" t="str">
        <f aca="false">INDEX(Lists!$B$5:$B$12,MATCH(D22,Lists!$A$5:$A$12,0))</f>
        <v>Accessories</v>
      </c>
      <c r="I22" s="32" t="n">
        <f aca="false">INDEX(Lists!$C$5:$C$12,MATCH(D22,Lists!$A$5:$A$12,0))</f>
        <v>80</v>
      </c>
      <c r="J22" s="32" t="n">
        <f aca="false">INDEX(Lists!$D$5:$D$12,MATCH(D22,Lists!$A$5:$A$12,0))</f>
        <v>38</v>
      </c>
      <c r="K22" s="32" t="n">
        <f aca="false">E22*I22*(1-F22)</f>
        <v>476</v>
      </c>
      <c r="L22" s="32" t="n">
        <f aca="false">E22*J22</f>
        <v>266</v>
      </c>
      <c r="M22" s="32" t="n">
        <f aca="false">K22-L22</f>
        <v>210</v>
      </c>
      <c r="N22" s="33" t="n">
        <f aca="false">DATE(YEAR(B22),MONTH(B22),1)</f>
        <v>45931</v>
      </c>
    </row>
    <row r="23" customFormat="false" ht="15" hidden="false" customHeight="false" outlineLevel="0" collapsed="false">
      <c r="A23" s="29" t="s">
        <v>97</v>
      </c>
      <c r="B23" s="30" t="n">
        <v>45952</v>
      </c>
      <c r="C23" s="29" t="s">
        <v>69</v>
      </c>
      <c r="D23" s="29" t="s">
        <v>72</v>
      </c>
      <c r="E23" s="29" t="n">
        <v>3</v>
      </c>
      <c r="F23" s="31" t="n">
        <v>0.1</v>
      </c>
      <c r="G23" s="14" t="str">
        <f aca="false">INDEX(Lists!$G$5:$G$12,MATCH(C23,Lists!$F$5:$F$12,0))</f>
        <v>East</v>
      </c>
      <c r="H23" s="14" t="str">
        <f aca="false">INDEX(Lists!$B$5:$B$12,MATCH(D23,Lists!$A$5:$A$12,0))</f>
        <v>Accessories</v>
      </c>
      <c r="I23" s="32" t="n">
        <f aca="false">INDEX(Lists!$C$5:$C$12,MATCH(D23,Lists!$A$5:$A$12,0))</f>
        <v>80</v>
      </c>
      <c r="J23" s="32" t="n">
        <f aca="false">INDEX(Lists!$D$5:$D$12,MATCH(D23,Lists!$A$5:$A$12,0))</f>
        <v>38</v>
      </c>
      <c r="K23" s="32" t="n">
        <f aca="false">E23*I23*(1-F23)</f>
        <v>216</v>
      </c>
      <c r="L23" s="32" t="n">
        <f aca="false">E23*J23</f>
        <v>114</v>
      </c>
      <c r="M23" s="32" t="n">
        <f aca="false">K23-L23</f>
        <v>102</v>
      </c>
      <c r="N23" s="33" t="n">
        <f aca="false">DATE(YEAR(B23),MONTH(B23),1)</f>
        <v>45931</v>
      </c>
    </row>
    <row r="24" customFormat="false" ht="15" hidden="false" customHeight="false" outlineLevel="0" collapsed="false">
      <c r="A24" s="29" t="s">
        <v>98</v>
      </c>
      <c r="B24" s="30" t="n">
        <v>45954</v>
      </c>
      <c r="C24" s="29" t="s">
        <v>74</v>
      </c>
      <c r="D24" s="29" t="s">
        <v>62</v>
      </c>
      <c r="E24" s="29" t="n">
        <v>1</v>
      </c>
      <c r="F24" s="31" t="n">
        <v>0.05</v>
      </c>
      <c r="G24" s="14" t="str">
        <f aca="false">INDEX(Lists!$G$5:$G$12,MATCH(C24,Lists!$F$5:$F$12,0))</f>
        <v>South</v>
      </c>
      <c r="H24" s="14" t="str">
        <f aca="false">INDEX(Lists!$B$5:$B$12,MATCH(D24,Lists!$A$5:$A$12,0))</f>
        <v>Computers</v>
      </c>
      <c r="I24" s="32" t="n">
        <f aca="false">INDEX(Lists!$C$5:$C$12,MATCH(D24,Lists!$A$5:$A$12,0))</f>
        <v>1600</v>
      </c>
      <c r="J24" s="32" t="n">
        <f aca="false">INDEX(Lists!$D$5:$D$12,MATCH(D24,Lists!$A$5:$A$12,0))</f>
        <v>1100</v>
      </c>
      <c r="K24" s="32" t="n">
        <f aca="false">E24*I24*(1-F24)</f>
        <v>1520</v>
      </c>
      <c r="L24" s="32" t="n">
        <f aca="false">E24*J24</f>
        <v>1100</v>
      </c>
      <c r="M24" s="32" t="n">
        <f aca="false">K24-L24</f>
        <v>420</v>
      </c>
      <c r="N24" s="33" t="n">
        <f aca="false">DATE(YEAR(B24),MONTH(B24),1)</f>
        <v>45931</v>
      </c>
    </row>
    <row r="25" customFormat="false" ht="15" hidden="false" customHeight="false" outlineLevel="0" collapsed="false">
      <c r="A25" s="29" t="s">
        <v>99</v>
      </c>
      <c r="B25" s="30" t="n">
        <v>45955</v>
      </c>
      <c r="C25" s="29" t="s">
        <v>93</v>
      </c>
      <c r="D25" s="29" t="s">
        <v>62</v>
      </c>
      <c r="E25" s="29" t="n">
        <v>4</v>
      </c>
      <c r="F25" s="31" t="n">
        <v>0.05</v>
      </c>
      <c r="G25" s="14" t="str">
        <f aca="false">INDEX(Lists!$G$5:$G$12,MATCH(C25,Lists!$F$5:$F$12,0))</f>
        <v>West</v>
      </c>
      <c r="H25" s="14" t="str">
        <f aca="false">INDEX(Lists!$B$5:$B$12,MATCH(D25,Lists!$A$5:$A$12,0))</f>
        <v>Computers</v>
      </c>
      <c r="I25" s="32" t="n">
        <f aca="false">INDEX(Lists!$C$5:$C$12,MATCH(D25,Lists!$A$5:$A$12,0))</f>
        <v>1600</v>
      </c>
      <c r="J25" s="32" t="n">
        <f aca="false">INDEX(Lists!$D$5:$D$12,MATCH(D25,Lists!$A$5:$A$12,0))</f>
        <v>1100</v>
      </c>
      <c r="K25" s="32" t="n">
        <f aca="false">E25*I25*(1-F25)</f>
        <v>6080</v>
      </c>
      <c r="L25" s="32" t="n">
        <f aca="false">E25*J25</f>
        <v>4400</v>
      </c>
      <c r="M25" s="32" t="n">
        <f aca="false">K25-L25</f>
        <v>1680</v>
      </c>
      <c r="N25" s="33" t="n">
        <f aca="false">DATE(YEAR(B25),MONTH(B25),1)</f>
        <v>45931</v>
      </c>
    </row>
    <row r="26" customFormat="false" ht="15" hidden="false" customHeight="false" outlineLevel="0" collapsed="false">
      <c r="A26" s="29" t="s">
        <v>100</v>
      </c>
      <c r="B26" s="30" t="n">
        <v>45956</v>
      </c>
      <c r="C26" s="29" t="s">
        <v>61</v>
      </c>
      <c r="D26" s="29" t="s">
        <v>70</v>
      </c>
      <c r="E26" s="29" t="n">
        <v>5</v>
      </c>
      <c r="F26" s="31" t="n">
        <v>0</v>
      </c>
      <c r="G26" s="14" t="str">
        <f aca="false">INDEX(Lists!$G$5:$G$12,MATCH(C26,Lists!$F$5:$F$12,0))</f>
        <v>South</v>
      </c>
      <c r="H26" s="14" t="str">
        <f aca="false">INDEX(Lists!$B$5:$B$12,MATCH(D26,Lists!$A$5:$A$12,0))</f>
        <v>Displays</v>
      </c>
      <c r="I26" s="32" t="n">
        <f aca="false">INDEX(Lists!$C$5:$C$12,MATCH(D26,Lists!$A$5:$A$12,0))</f>
        <v>520</v>
      </c>
      <c r="J26" s="32" t="n">
        <f aca="false">INDEX(Lists!$D$5:$D$12,MATCH(D26,Lists!$A$5:$A$12,0))</f>
        <v>340</v>
      </c>
      <c r="K26" s="32" t="n">
        <f aca="false">E26*I26*(1-F26)</f>
        <v>2600</v>
      </c>
      <c r="L26" s="32" t="n">
        <f aca="false">E26*J26</f>
        <v>1700</v>
      </c>
      <c r="M26" s="32" t="n">
        <f aca="false">K26-L26</f>
        <v>900</v>
      </c>
      <c r="N26" s="33" t="n">
        <f aca="false">DATE(YEAR(B26),MONTH(B26),1)</f>
        <v>45931</v>
      </c>
    </row>
    <row r="27" customFormat="false" ht="15" hidden="false" customHeight="false" outlineLevel="0" collapsed="false">
      <c r="A27" s="29" t="s">
        <v>101</v>
      </c>
      <c r="B27" s="30" t="n">
        <v>45959</v>
      </c>
      <c r="C27" s="29" t="s">
        <v>83</v>
      </c>
      <c r="D27" s="29" t="s">
        <v>72</v>
      </c>
      <c r="E27" s="29" t="n">
        <v>8</v>
      </c>
      <c r="F27" s="31" t="n">
        <v>0</v>
      </c>
      <c r="G27" s="14" t="str">
        <f aca="false">INDEX(Lists!$G$5:$G$12,MATCH(C27,Lists!$F$5:$F$12,0))</f>
        <v>West</v>
      </c>
      <c r="H27" s="14" t="str">
        <f aca="false">INDEX(Lists!$B$5:$B$12,MATCH(D27,Lists!$A$5:$A$12,0))</f>
        <v>Accessories</v>
      </c>
      <c r="I27" s="32" t="n">
        <f aca="false">INDEX(Lists!$C$5:$C$12,MATCH(D27,Lists!$A$5:$A$12,0))</f>
        <v>80</v>
      </c>
      <c r="J27" s="32" t="n">
        <f aca="false">INDEX(Lists!$D$5:$D$12,MATCH(D27,Lists!$A$5:$A$12,0))</f>
        <v>38</v>
      </c>
      <c r="K27" s="32" t="n">
        <f aca="false">E27*I27*(1-F27)</f>
        <v>640</v>
      </c>
      <c r="L27" s="32" t="n">
        <f aca="false">E27*J27</f>
        <v>304</v>
      </c>
      <c r="M27" s="32" t="n">
        <f aca="false">K27-L27</f>
        <v>336</v>
      </c>
      <c r="N27" s="33" t="n">
        <f aca="false">DATE(YEAR(B27),MONTH(B27),1)</f>
        <v>45931</v>
      </c>
    </row>
    <row r="28" customFormat="false" ht="15" hidden="false" customHeight="false" outlineLevel="0" collapsed="false">
      <c r="A28" s="29" t="s">
        <v>102</v>
      </c>
      <c r="B28" s="30" t="n">
        <v>45959</v>
      </c>
      <c r="C28" s="29" t="s">
        <v>61</v>
      </c>
      <c r="D28" s="29" t="s">
        <v>75</v>
      </c>
      <c r="E28" s="29" t="n">
        <v>4</v>
      </c>
      <c r="F28" s="31" t="n">
        <v>0.05</v>
      </c>
      <c r="G28" s="14" t="str">
        <f aca="false">INDEX(Lists!$G$5:$G$12,MATCH(C28,Lists!$F$5:$F$12,0))</f>
        <v>South</v>
      </c>
      <c r="H28" s="14" t="str">
        <f aca="false">INDEX(Lists!$B$5:$B$12,MATCH(D28,Lists!$A$5:$A$12,0))</f>
        <v>Audio</v>
      </c>
      <c r="I28" s="32" t="n">
        <f aca="false">INDEX(Lists!$C$5:$C$12,MATCH(D28,Lists!$A$5:$A$12,0))</f>
        <v>140</v>
      </c>
      <c r="J28" s="32" t="n">
        <f aca="false">INDEX(Lists!$D$5:$D$12,MATCH(D28,Lists!$A$5:$A$12,0))</f>
        <v>70</v>
      </c>
      <c r="K28" s="32" t="n">
        <f aca="false">E28*I28*(1-F28)</f>
        <v>532</v>
      </c>
      <c r="L28" s="32" t="n">
        <f aca="false">E28*J28</f>
        <v>280</v>
      </c>
      <c r="M28" s="32" t="n">
        <f aca="false">K28-L28</f>
        <v>252</v>
      </c>
      <c r="N28" s="33" t="n">
        <f aca="false">DATE(YEAR(B28),MONTH(B28),1)</f>
        <v>45931</v>
      </c>
    </row>
    <row r="29" customFormat="false" ht="15" hidden="false" customHeight="false" outlineLevel="0" collapsed="false">
      <c r="A29" s="29" t="s">
        <v>103</v>
      </c>
      <c r="B29" s="30" t="n">
        <v>45960</v>
      </c>
      <c r="C29" s="29" t="s">
        <v>74</v>
      </c>
      <c r="D29" s="29" t="s">
        <v>67</v>
      </c>
      <c r="E29" s="29" t="n">
        <v>5</v>
      </c>
      <c r="F29" s="31" t="n">
        <v>0</v>
      </c>
      <c r="G29" s="14" t="str">
        <f aca="false">INDEX(Lists!$G$5:$G$12,MATCH(C29,Lists!$F$5:$F$12,0))</f>
        <v>South</v>
      </c>
      <c r="H29" s="14" t="str">
        <f aca="false">INDEX(Lists!$B$5:$B$12,MATCH(D29,Lists!$A$5:$A$12,0))</f>
        <v>Accessories</v>
      </c>
      <c r="I29" s="32" t="n">
        <f aca="false">INDEX(Lists!$C$5:$C$12,MATCH(D29,Lists!$A$5:$A$12,0))</f>
        <v>120</v>
      </c>
      <c r="J29" s="32" t="n">
        <f aca="false">INDEX(Lists!$D$5:$D$12,MATCH(D29,Lists!$A$5:$A$12,0))</f>
        <v>62</v>
      </c>
      <c r="K29" s="32" t="n">
        <f aca="false">E29*I29*(1-F29)</f>
        <v>600</v>
      </c>
      <c r="L29" s="32" t="n">
        <f aca="false">E29*J29</f>
        <v>310</v>
      </c>
      <c r="M29" s="32" t="n">
        <f aca="false">K29-L29</f>
        <v>290</v>
      </c>
      <c r="N29" s="33" t="n">
        <f aca="false">DATE(YEAR(B29),MONTH(B29),1)</f>
        <v>45931</v>
      </c>
    </row>
    <row r="30" customFormat="false" ht="15" hidden="false" customHeight="false" outlineLevel="0" collapsed="false">
      <c r="A30" s="29" t="s">
        <v>104</v>
      </c>
      <c r="B30" s="30" t="n">
        <v>45962</v>
      </c>
      <c r="C30" s="29" t="s">
        <v>74</v>
      </c>
      <c r="D30" s="29" t="s">
        <v>80</v>
      </c>
      <c r="E30" s="29" t="n">
        <v>3</v>
      </c>
      <c r="F30" s="31" t="n">
        <v>0.15</v>
      </c>
      <c r="G30" s="14" t="str">
        <f aca="false">INDEX(Lists!$G$5:$G$12,MATCH(C30,Lists!$F$5:$F$12,0))</f>
        <v>South</v>
      </c>
      <c r="H30" s="14" t="str">
        <f aca="false">INDEX(Lists!$B$5:$B$12,MATCH(D30,Lists!$A$5:$A$12,0))</f>
        <v>Computers</v>
      </c>
      <c r="I30" s="32" t="n">
        <f aca="false">INDEX(Lists!$C$5:$C$12,MATCH(D30,Lists!$A$5:$A$12,0))</f>
        <v>2400</v>
      </c>
      <c r="J30" s="32" t="n">
        <f aca="false">INDEX(Lists!$D$5:$D$12,MATCH(D30,Lists!$A$5:$A$12,0))</f>
        <v>1650</v>
      </c>
      <c r="K30" s="32" t="n">
        <f aca="false">E30*I30*(1-F30)</f>
        <v>6120</v>
      </c>
      <c r="L30" s="32" t="n">
        <f aca="false">E30*J30</f>
        <v>4950</v>
      </c>
      <c r="M30" s="32" t="n">
        <f aca="false">K30-L30</f>
        <v>1170</v>
      </c>
      <c r="N30" s="33" t="n">
        <f aca="false">DATE(YEAR(B30),MONTH(B30),1)</f>
        <v>45962</v>
      </c>
    </row>
    <row r="31" customFormat="false" ht="15" hidden="false" customHeight="false" outlineLevel="0" collapsed="false">
      <c r="A31" s="29" t="s">
        <v>105</v>
      </c>
      <c r="B31" s="30" t="n">
        <v>45965</v>
      </c>
      <c r="C31" s="29" t="s">
        <v>69</v>
      </c>
      <c r="D31" s="29" t="s">
        <v>72</v>
      </c>
      <c r="E31" s="29" t="n">
        <v>4</v>
      </c>
      <c r="F31" s="31" t="n">
        <v>0.05</v>
      </c>
      <c r="G31" s="14" t="str">
        <f aca="false">INDEX(Lists!$G$5:$G$12,MATCH(C31,Lists!$F$5:$F$12,0))</f>
        <v>East</v>
      </c>
      <c r="H31" s="14" t="str">
        <f aca="false">INDEX(Lists!$B$5:$B$12,MATCH(D31,Lists!$A$5:$A$12,0))</f>
        <v>Accessories</v>
      </c>
      <c r="I31" s="32" t="n">
        <f aca="false">INDEX(Lists!$C$5:$C$12,MATCH(D31,Lists!$A$5:$A$12,0))</f>
        <v>80</v>
      </c>
      <c r="J31" s="32" t="n">
        <f aca="false">INDEX(Lists!$D$5:$D$12,MATCH(D31,Lists!$A$5:$A$12,0))</f>
        <v>38</v>
      </c>
      <c r="K31" s="32" t="n">
        <f aca="false">E31*I31*(1-F31)</f>
        <v>304</v>
      </c>
      <c r="L31" s="32" t="n">
        <f aca="false">E31*J31</f>
        <v>152</v>
      </c>
      <c r="M31" s="32" t="n">
        <f aca="false">K31-L31</f>
        <v>152</v>
      </c>
      <c r="N31" s="33" t="n">
        <f aca="false">DATE(YEAR(B31),MONTH(B31),1)</f>
        <v>45962</v>
      </c>
    </row>
    <row r="32" customFormat="false" ht="15" hidden="false" customHeight="false" outlineLevel="0" collapsed="false">
      <c r="A32" s="29" t="s">
        <v>106</v>
      </c>
      <c r="B32" s="30" t="n">
        <v>45966</v>
      </c>
      <c r="C32" s="29" t="s">
        <v>69</v>
      </c>
      <c r="D32" s="29" t="s">
        <v>67</v>
      </c>
      <c r="E32" s="29" t="n">
        <v>13</v>
      </c>
      <c r="F32" s="31" t="n">
        <v>0.1</v>
      </c>
      <c r="G32" s="14" t="str">
        <f aca="false">INDEX(Lists!$G$5:$G$12,MATCH(C32,Lists!$F$5:$F$12,0))</f>
        <v>East</v>
      </c>
      <c r="H32" s="14" t="str">
        <f aca="false">INDEX(Lists!$B$5:$B$12,MATCH(D32,Lists!$A$5:$A$12,0))</f>
        <v>Accessories</v>
      </c>
      <c r="I32" s="32" t="n">
        <f aca="false">INDEX(Lists!$C$5:$C$12,MATCH(D32,Lists!$A$5:$A$12,0))</f>
        <v>120</v>
      </c>
      <c r="J32" s="32" t="n">
        <f aca="false">INDEX(Lists!$D$5:$D$12,MATCH(D32,Lists!$A$5:$A$12,0))</f>
        <v>62</v>
      </c>
      <c r="K32" s="32" t="n">
        <f aca="false">E32*I32*(1-F32)</f>
        <v>1404</v>
      </c>
      <c r="L32" s="32" t="n">
        <f aca="false">E32*J32</f>
        <v>806</v>
      </c>
      <c r="M32" s="32" t="n">
        <f aca="false">K32-L32</f>
        <v>598</v>
      </c>
      <c r="N32" s="33" t="n">
        <f aca="false">DATE(YEAR(B32),MONTH(B32),1)</f>
        <v>45962</v>
      </c>
    </row>
    <row r="33" customFormat="false" ht="15" hidden="false" customHeight="false" outlineLevel="0" collapsed="false">
      <c r="A33" s="29" t="s">
        <v>107</v>
      </c>
      <c r="B33" s="30" t="n">
        <v>45966</v>
      </c>
      <c r="C33" s="29" t="s">
        <v>83</v>
      </c>
      <c r="D33" s="29" t="s">
        <v>75</v>
      </c>
      <c r="E33" s="29" t="n">
        <v>3</v>
      </c>
      <c r="F33" s="31" t="n">
        <v>0.05</v>
      </c>
      <c r="G33" s="14" t="str">
        <f aca="false">INDEX(Lists!$G$5:$G$12,MATCH(C33,Lists!$F$5:$F$12,0))</f>
        <v>West</v>
      </c>
      <c r="H33" s="14" t="str">
        <f aca="false">INDEX(Lists!$B$5:$B$12,MATCH(D33,Lists!$A$5:$A$12,0))</f>
        <v>Audio</v>
      </c>
      <c r="I33" s="32" t="n">
        <f aca="false">INDEX(Lists!$C$5:$C$12,MATCH(D33,Lists!$A$5:$A$12,0))</f>
        <v>140</v>
      </c>
      <c r="J33" s="32" t="n">
        <f aca="false">INDEX(Lists!$D$5:$D$12,MATCH(D33,Lists!$A$5:$A$12,0))</f>
        <v>70</v>
      </c>
      <c r="K33" s="32" t="n">
        <f aca="false">E33*I33*(1-F33)</f>
        <v>399</v>
      </c>
      <c r="L33" s="32" t="n">
        <f aca="false">E33*J33</f>
        <v>210</v>
      </c>
      <c r="M33" s="32" t="n">
        <f aca="false">K33-L33</f>
        <v>189</v>
      </c>
      <c r="N33" s="33" t="n">
        <f aca="false">DATE(YEAR(B33),MONTH(B33),1)</f>
        <v>45962</v>
      </c>
    </row>
    <row r="34" customFormat="false" ht="15" hidden="false" customHeight="false" outlineLevel="0" collapsed="false">
      <c r="A34" s="29" t="s">
        <v>108</v>
      </c>
      <c r="B34" s="30" t="n">
        <v>45966</v>
      </c>
      <c r="C34" s="29" t="s">
        <v>93</v>
      </c>
      <c r="D34" s="29" t="s">
        <v>72</v>
      </c>
      <c r="E34" s="29" t="n">
        <v>11</v>
      </c>
      <c r="F34" s="31" t="n">
        <v>0.1</v>
      </c>
      <c r="G34" s="14" t="str">
        <f aca="false">INDEX(Lists!$G$5:$G$12,MATCH(C34,Lists!$F$5:$F$12,0))</f>
        <v>West</v>
      </c>
      <c r="H34" s="14" t="str">
        <f aca="false">INDEX(Lists!$B$5:$B$12,MATCH(D34,Lists!$A$5:$A$12,0))</f>
        <v>Accessories</v>
      </c>
      <c r="I34" s="32" t="n">
        <f aca="false">INDEX(Lists!$C$5:$C$12,MATCH(D34,Lists!$A$5:$A$12,0))</f>
        <v>80</v>
      </c>
      <c r="J34" s="32" t="n">
        <f aca="false">INDEX(Lists!$D$5:$D$12,MATCH(D34,Lists!$A$5:$A$12,0))</f>
        <v>38</v>
      </c>
      <c r="K34" s="32" t="n">
        <f aca="false">E34*I34*(1-F34)</f>
        <v>792</v>
      </c>
      <c r="L34" s="32" t="n">
        <f aca="false">E34*J34</f>
        <v>418</v>
      </c>
      <c r="M34" s="32" t="n">
        <f aca="false">K34-L34</f>
        <v>374</v>
      </c>
      <c r="N34" s="33" t="n">
        <f aca="false">DATE(YEAR(B34),MONTH(B34),1)</f>
        <v>45962</v>
      </c>
    </row>
    <row r="35" customFormat="false" ht="15" hidden="false" customHeight="false" outlineLevel="0" collapsed="false">
      <c r="A35" s="29" t="s">
        <v>109</v>
      </c>
      <c r="B35" s="30" t="n">
        <v>45966</v>
      </c>
      <c r="C35" s="29" t="s">
        <v>86</v>
      </c>
      <c r="D35" s="29" t="s">
        <v>72</v>
      </c>
      <c r="E35" s="29" t="n">
        <v>8</v>
      </c>
      <c r="F35" s="31" t="n">
        <v>0</v>
      </c>
      <c r="G35" s="14" t="str">
        <f aca="false">INDEX(Lists!$G$5:$G$12,MATCH(C35,Lists!$F$5:$F$12,0))</f>
        <v>North</v>
      </c>
      <c r="H35" s="14" t="str">
        <f aca="false">INDEX(Lists!$B$5:$B$12,MATCH(D35,Lists!$A$5:$A$12,0))</f>
        <v>Accessories</v>
      </c>
      <c r="I35" s="32" t="n">
        <f aca="false">INDEX(Lists!$C$5:$C$12,MATCH(D35,Lists!$A$5:$A$12,0))</f>
        <v>80</v>
      </c>
      <c r="J35" s="32" t="n">
        <f aca="false">INDEX(Lists!$D$5:$D$12,MATCH(D35,Lists!$A$5:$A$12,0))</f>
        <v>38</v>
      </c>
      <c r="K35" s="32" t="n">
        <f aca="false">E35*I35*(1-F35)</f>
        <v>640</v>
      </c>
      <c r="L35" s="32" t="n">
        <f aca="false">E35*J35</f>
        <v>304</v>
      </c>
      <c r="M35" s="32" t="n">
        <f aca="false">K35-L35</f>
        <v>336</v>
      </c>
      <c r="N35" s="33" t="n">
        <f aca="false">DATE(YEAR(B35),MONTH(B35),1)</f>
        <v>45962</v>
      </c>
    </row>
    <row r="36" customFormat="false" ht="15" hidden="false" customHeight="false" outlineLevel="0" collapsed="false">
      <c r="A36" s="29" t="s">
        <v>110</v>
      </c>
      <c r="B36" s="30" t="n">
        <v>45967</v>
      </c>
      <c r="C36" s="29" t="s">
        <v>86</v>
      </c>
      <c r="D36" s="29" t="s">
        <v>75</v>
      </c>
      <c r="E36" s="29" t="n">
        <v>9</v>
      </c>
      <c r="F36" s="31" t="n">
        <v>0.15</v>
      </c>
      <c r="G36" s="14" t="str">
        <f aca="false">INDEX(Lists!$G$5:$G$12,MATCH(C36,Lists!$F$5:$F$12,0))</f>
        <v>North</v>
      </c>
      <c r="H36" s="14" t="str">
        <f aca="false">INDEX(Lists!$B$5:$B$12,MATCH(D36,Lists!$A$5:$A$12,0))</f>
        <v>Audio</v>
      </c>
      <c r="I36" s="32" t="n">
        <f aca="false">INDEX(Lists!$C$5:$C$12,MATCH(D36,Lists!$A$5:$A$12,0))</f>
        <v>140</v>
      </c>
      <c r="J36" s="32" t="n">
        <f aca="false">INDEX(Lists!$D$5:$D$12,MATCH(D36,Lists!$A$5:$A$12,0))</f>
        <v>70</v>
      </c>
      <c r="K36" s="32" t="n">
        <f aca="false">E36*I36*(1-F36)</f>
        <v>1071</v>
      </c>
      <c r="L36" s="32" t="n">
        <f aca="false">E36*J36</f>
        <v>630</v>
      </c>
      <c r="M36" s="32" t="n">
        <f aca="false">K36-L36</f>
        <v>441</v>
      </c>
      <c r="N36" s="33" t="n">
        <f aca="false">DATE(YEAR(B36),MONTH(B36),1)</f>
        <v>45962</v>
      </c>
    </row>
    <row r="37" customFormat="false" ht="15" hidden="false" customHeight="false" outlineLevel="0" collapsed="false">
      <c r="A37" s="29" t="s">
        <v>111</v>
      </c>
      <c r="B37" s="30" t="n">
        <v>45968</v>
      </c>
      <c r="C37" s="29" t="s">
        <v>74</v>
      </c>
      <c r="D37" s="29" t="s">
        <v>67</v>
      </c>
      <c r="E37" s="29" t="n">
        <v>17</v>
      </c>
      <c r="F37" s="31" t="n">
        <v>0.05</v>
      </c>
      <c r="G37" s="14" t="str">
        <f aca="false">INDEX(Lists!$G$5:$G$12,MATCH(C37,Lists!$F$5:$F$12,0))</f>
        <v>South</v>
      </c>
      <c r="H37" s="14" t="str">
        <f aca="false">INDEX(Lists!$B$5:$B$12,MATCH(D37,Lists!$A$5:$A$12,0))</f>
        <v>Accessories</v>
      </c>
      <c r="I37" s="32" t="n">
        <f aca="false">INDEX(Lists!$C$5:$C$12,MATCH(D37,Lists!$A$5:$A$12,0))</f>
        <v>120</v>
      </c>
      <c r="J37" s="32" t="n">
        <f aca="false">INDEX(Lists!$D$5:$D$12,MATCH(D37,Lists!$A$5:$A$12,0))</f>
        <v>62</v>
      </c>
      <c r="K37" s="32" t="n">
        <f aca="false">E37*I37*(1-F37)</f>
        <v>1938</v>
      </c>
      <c r="L37" s="32" t="n">
        <f aca="false">E37*J37</f>
        <v>1054</v>
      </c>
      <c r="M37" s="32" t="n">
        <f aca="false">K37-L37</f>
        <v>884</v>
      </c>
      <c r="N37" s="33" t="n">
        <f aca="false">DATE(YEAR(B37),MONTH(B37),1)</f>
        <v>45962</v>
      </c>
    </row>
    <row r="38" customFormat="false" ht="15" hidden="false" customHeight="false" outlineLevel="0" collapsed="false">
      <c r="A38" s="29" t="s">
        <v>112</v>
      </c>
      <c r="B38" s="30" t="n">
        <v>45969</v>
      </c>
      <c r="C38" s="29" t="s">
        <v>69</v>
      </c>
      <c r="D38" s="29" t="s">
        <v>72</v>
      </c>
      <c r="E38" s="29" t="n">
        <v>19</v>
      </c>
      <c r="F38" s="31" t="n">
        <v>0</v>
      </c>
      <c r="G38" s="14" t="str">
        <f aca="false">INDEX(Lists!$G$5:$G$12,MATCH(C38,Lists!$F$5:$F$12,0))</f>
        <v>East</v>
      </c>
      <c r="H38" s="14" t="str">
        <f aca="false">INDEX(Lists!$B$5:$B$12,MATCH(D38,Lists!$A$5:$A$12,0))</f>
        <v>Accessories</v>
      </c>
      <c r="I38" s="32" t="n">
        <f aca="false">INDEX(Lists!$C$5:$C$12,MATCH(D38,Lists!$A$5:$A$12,0))</f>
        <v>80</v>
      </c>
      <c r="J38" s="32" t="n">
        <f aca="false">INDEX(Lists!$D$5:$D$12,MATCH(D38,Lists!$A$5:$A$12,0))</f>
        <v>38</v>
      </c>
      <c r="K38" s="32" t="n">
        <f aca="false">E38*I38*(1-F38)</f>
        <v>1520</v>
      </c>
      <c r="L38" s="32" t="n">
        <f aca="false">E38*J38</f>
        <v>722</v>
      </c>
      <c r="M38" s="32" t="n">
        <f aca="false">K38-L38</f>
        <v>798</v>
      </c>
      <c r="N38" s="33" t="n">
        <f aca="false">DATE(YEAR(B38),MONTH(B38),1)</f>
        <v>45962</v>
      </c>
    </row>
    <row r="39" customFormat="false" ht="15" hidden="false" customHeight="false" outlineLevel="0" collapsed="false">
      <c r="A39" s="29" t="s">
        <v>113</v>
      </c>
      <c r="B39" s="30" t="n">
        <v>45970</v>
      </c>
      <c r="C39" s="29" t="s">
        <v>83</v>
      </c>
      <c r="D39" s="29" t="s">
        <v>67</v>
      </c>
      <c r="E39" s="29" t="n">
        <v>16</v>
      </c>
      <c r="F39" s="31" t="n">
        <v>0</v>
      </c>
      <c r="G39" s="14" t="str">
        <f aca="false">INDEX(Lists!$G$5:$G$12,MATCH(C39,Lists!$F$5:$F$12,0))</f>
        <v>West</v>
      </c>
      <c r="H39" s="14" t="str">
        <f aca="false">INDEX(Lists!$B$5:$B$12,MATCH(D39,Lists!$A$5:$A$12,0))</f>
        <v>Accessories</v>
      </c>
      <c r="I39" s="32" t="n">
        <f aca="false">INDEX(Lists!$C$5:$C$12,MATCH(D39,Lists!$A$5:$A$12,0))</f>
        <v>120</v>
      </c>
      <c r="J39" s="32" t="n">
        <f aca="false">INDEX(Lists!$D$5:$D$12,MATCH(D39,Lists!$A$5:$A$12,0))</f>
        <v>62</v>
      </c>
      <c r="K39" s="32" t="n">
        <f aca="false">E39*I39*(1-F39)</f>
        <v>1920</v>
      </c>
      <c r="L39" s="32" t="n">
        <f aca="false">E39*J39</f>
        <v>992</v>
      </c>
      <c r="M39" s="32" t="n">
        <f aca="false">K39-L39</f>
        <v>928</v>
      </c>
      <c r="N39" s="33" t="n">
        <f aca="false">DATE(YEAR(B39),MONTH(B39),1)</f>
        <v>45962</v>
      </c>
    </row>
    <row r="40" customFormat="false" ht="15" hidden="false" customHeight="false" outlineLevel="0" collapsed="false">
      <c r="A40" s="29" t="s">
        <v>114</v>
      </c>
      <c r="B40" s="30" t="n">
        <v>45973</v>
      </c>
      <c r="C40" s="29" t="s">
        <v>64</v>
      </c>
      <c r="D40" s="29" t="s">
        <v>65</v>
      </c>
      <c r="E40" s="29" t="n">
        <v>2</v>
      </c>
      <c r="F40" s="31" t="n">
        <v>0</v>
      </c>
      <c r="G40" s="14" t="str">
        <f aca="false">INDEX(Lists!$G$5:$G$12,MATCH(C40,Lists!$F$5:$F$12,0))</f>
        <v>East</v>
      </c>
      <c r="H40" s="14" t="str">
        <f aca="false">INDEX(Lists!$B$5:$B$12,MATCH(D40,Lists!$A$5:$A$12,0))</f>
        <v>Accessories</v>
      </c>
      <c r="I40" s="32" t="n">
        <f aca="false">INDEX(Lists!$C$5:$C$12,MATCH(D40,Lists!$A$5:$A$12,0))</f>
        <v>260</v>
      </c>
      <c r="J40" s="32" t="n">
        <f aca="false">INDEX(Lists!$D$5:$D$12,MATCH(D40,Lists!$A$5:$A$12,0))</f>
        <v>150</v>
      </c>
      <c r="K40" s="32" t="n">
        <f aca="false">E40*I40*(1-F40)</f>
        <v>520</v>
      </c>
      <c r="L40" s="32" t="n">
        <f aca="false">E40*J40</f>
        <v>300</v>
      </c>
      <c r="M40" s="32" t="n">
        <f aca="false">K40-L40</f>
        <v>220</v>
      </c>
      <c r="N40" s="33" t="n">
        <f aca="false">DATE(YEAR(B40),MONTH(B40),1)</f>
        <v>45962</v>
      </c>
    </row>
    <row r="41" customFormat="false" ht="15" hidden="false" customHeight="false" outlineLevel="0" collapsed="false">
      <c r="A41" s="29" t="s">
        <v>115</v>
      </c>
      <c r="B41" s="30" t="n">
        <v>45974</v>
      </c>
      <c r="C41" s="29" t="s">
        <v>64</v>
      </c>
      <c r="D41" s="29" t="s">
        <v>91</v>
      </c>
      <c r="E41" s="29" t="n">
        <v>16</v>
      </c>
      <c r="F41" s="31" t="n">
        <v>0.05</v>
      </c>
      <c r="G41" s="14" t="str">
        <f aca="false">INDEX(Lists!$G$5:$G$12,MATCH(C41,Lists!$F$5:$F$12,0))</f>
        <v>East</v>
      </c>
      <c r="H41" s="14" t="str">
        <f aca="false">INDEX(Lists!$B$5:$B$12,MATCH(D41,Lists!$A$5:$A$12,0))</f>
        <v>Audio</v>
      </c>
      <c r="I41" s="32" t="n">
        <f aca="false">INDEX(Lists!$C$5:$C$12,MATCH(D41,Lists!$A$5:$A$12,0))</f>
        <v>190</v>
      </c>
      <c r="J41" s="32" t="n">
        <f aca="false">INDEX(Lists!$D$5:$D$12,MATCH(D41,Lists!$A$5:$A$12,0))</f>
        <v>105</v>
      </c>
      <c r="K41" s="32" t="n">
        <f aca="false">E41*I41*(1-F41)</f>
        <v>2888</v>
      </c>
      <c r="L41" s="32" t="n">
        <f aca="false">E41*J41</f>
        <v>1680</v>
      </c>
      <c r="M41" s="32" t="n">
        <f aca="false">K41-L41</f>
        <v>1208</v>
      </c>
      <c r="N41" s="33" t="n">
        <f aca="false">DATE(YEAR(B41),MONTH(B41),1)</f>
        <v>45962</v>
      </c>
    </row>
    <row r="42" customFormat="false" ht="15" hidden="false" customHeight="false" outlineLevel="0" collapsed="false">
      <c r="A42" s="29" t="s">
        <v>116</v>
      </c>
      <c r="B42" s="30" t="n">
        <v>45974</v>
      </c>
      <c r="C42" s="29" t="s">
        <v>93</v>
      </c>
      <c r="D42" s="29" t="s">
        <v>70</v>
      </c>
      <c r="E42" s="29" t="n">
        <v>1</v>
      </c>
      <c r="F42" s="31" t="n">
        <v>0.15</v>
      </c>
      <c r="G42" s="14" t="str">
        <f aca="false">INDEX(Lists!$G$5:$G$12,MATCH(C42,Lists!$F$5:$F$12,0))</f>
        <v>West</v>
      </c>
      <c r="H42" s="14" t="str">
        <f aca="false">INDEX(Lists!$B$5:$B$12,MATCH(D42,Lists!$A$5:$A$12,0))</f>
        <v>Displays</v>
      </c>
      <c r="I42" s="32" t="n">
        <f aca="false">INDEX(Lists!$C$5:$C$12,MATCH(D42,Lists!$A$5:$A$12,0))</f>
        <v>520</v>
      </c>
      <c r="J42" s="32" t="n">
        <f aca="false">INDEX(Lists!$D$5:$D$12,MATCH(D42,Lists!$A$5:$A$12,0))</f>
        <v>340</v>
      </c>
      <c r="K42" s="32" t="n">
        <f aca="false">E42*I42*(1-F42)</f>
        <v>442</v>
      </c>
      <c r="L42" s="32" t="n">
        <f aca="false">E42*J42</f>
        <v>340</v>
      </c>
      <c r="M42" s="32" t="n">
        <f aca="false">K42-L42</f>
        <v>102</v>
      </c>
      <c r="N42" s="33" t="n">
        <f aca="false">DATE(YEAR(B42),MONTH(B42),1)</f>
        <v>45962</v>
      </c>
    </row>
    <row r="43" customFormat="false" ht="15" hidden="false" customHeight="false" outlineLevel="0" collapsed="false">
      <c r="A43" s="29" t="s">
        <v>117</v>
      </c>
      <c r="B43" s="30" t="n">
        <v>45975</v>
      </c>
      <c r="C43" s="29" t="s">
        <v>64</v>
      </c>
      <c r="D43" s="29" t="s">
        <v>67</v>
      </c>
      <c r="E43" s="29" t="n">
        <v>11</v>
      </c>
      <c r="F43" s="31" t="n">
        <v>0</v>
      </c>
      <c r="G43" s="14" t="str">
        <f aca="false">INDEX(Lists!$G$5:$G$12,MATCH(C43,Lists!$F$5:$F$12,0))</f>
        <v>East</v>
      </c>
      <c r="H43" s="14" t="str">
        <f aca="false">INDEX(Lists!$B$5:$B$12,MATCH(D43,Lists!$A$5:$A$12,0))</f>
        <v>Accessories</v>
      </c>
      <c r="I43" s="32" t="n">
        <f aca="false">INDEX(Lists!$C$5:$C$12,MATCH(D43,Lists!$A$5:$A$12,0))</f>
        <v>120</v>
      </c>
      <c r="J43" s="32" t="n">
        <f aca="false">INDEX(Lists!$D$5:$D$12,MATCH(D43,Lists!$A$5:$A$12,0))</f>
        <v>62</v>
      </c>
      <c r="K43" s="32" t="n">
        <f aca="false">E43*I43*(1-F43)</f>
        <v>1320</v>
      </c>
      <c r="L43" s="32" t="n">
        <f aca="false">E43*J43</f>
        <v>682</v>
      </c>
      <c r="M43" s="32" t="n">
        <f aca="false">K43-L43</f>
        <v>638</v>
      </c>
      <c r="N43" s="33" t="n">
        <f aca="false">DATE(YEAR(B43),MONTH(B43),1)</f>
        <v>45962</v>
      </c>
    </row>
    <row r="44" customFormat="false" ht="15" hidden="false" customHeight="false" outlineLevel="0" collapsed="false">
      <c r="A44" s="29" t="s">
        <v>118</v>
      </c>
      <c r="B44" s="30" t="n">
        <v>45975</v>
      </c>
      <c r="C44" s="29" t="s">
        <v>93</v>
      </c>
      <c r="D44" s="29" t="s">
        <v>62</v>
      </c>
      <c r="E44" s="29" t="n">
        <v>1</v>
      </c>
      <c r="F44" s="31" t="n">
        <v>0.15</v>
      </c>
      <c r="G44" s="14" t="str">
        <f aca="false">INDEX(Lists!$G$5:$G$12,MATCH(C44,Lists!$F$5:$F$12,0))</f>
        <v>West</v>
      </c>
      <c r="H44" s="14" t="str">
        <f aca="false">INDEX(Lists!$B$5:$B$12,MATCH(D44,Lists!$A$5:$A$12,0))</f>
        <v>Computers</v>
      </c>
      <c r="I44" s="32" t="n">
        <f aca="false">INDEX(Lists!$C$5:$C$12,MATCH(D44,Lists!$A$5:$A$12,0))</f>
        <v>1600</v>
      </c>
      <c r="J44" s="32" t="n">
        <f aca="false">INDEX(Lists!$D$5:$D$12,MATCH(D44,Lists!$A$5:$A$12,0))</f>
        <v>1100</v>
      </c>
      <c r="K44" s="32" t="n">
        <f aca="false">E44*I44*(1-F44)</f>
        <v>1360</v>
      </c>
      <c r="L44" s="32" t="n">
        <f aca="false">E44*J44</f>
        <v>1100</v>
      </c>
      <c r="M44" s="32" t="n">
        <f aca="false">K44-L44</f>
        <v>260</v>
      </c>
      <c r="N44" s="33" t="n">
        <f aca="false">DATE(YEAR(B44),MONTH(B44),1)</f>
        <v>45962</v>
      </c>
    </row>
    <row r="45" customFormat="false" ht="15" hidden="false" customHeight="false" outlineLevel="0" collapsed="false">
      <c r="A45" s="29" t="s">
        <v>119</v>
      </c>
      <c r="B45" s="30" t="n">
        <v>45976</v>
      </c>
      <c r="C45" s="29" t="s">
        <v>83</v>
      </c>
      <c r="D45" s="29" t="s">
        <v>72</v>
      </c>
      <c r="E45" s="29" t="n">
        <v>2</v>
      </c>
      <c r="F45" s="31" t="n">
        <v>0.05</v>
      </c>
      <c r="G45" s="14" t="str">
        <f aca="false">INDEX(Lists!$G$5:$G$12,MATCH(C45,Lists!$F$5:$F$12,0))</f>
        <v>West</v>
      </c>
      <c r="H45" s="14" t="str">
        <f aca="false">INDEX(Lists!$B$5:$B$12,MATCH(D45,Lists!$A$5:$A$12,0))</f>
        <v>Accessories</v>
      </c>
      <c r="I45" s="32" t="n">
        <f aca="false">INDEX(Lists!$C$5:$C$12,MATCH(D45,Lists!$A$5:$A$12,0))</f>
        <v>80</v>
      </c>
      <c r="J45" s="32" t="n">
        <f aca="false">INDEX(Lists!$D$5:$D$12,MATCH(D45,Lists!$A$5:$A$12,0))</f>
        <v>38</v>
      </c>
      <c r="K45" s="32" t="n">
        <f aca="false">E45*I45*(1-F45)</f>
        <v>152</v>
      </c>
      <c r="L45" s="32" t="n">
        <f aca="false">E45*J45</f>
        <v>76</v>
      </c>
      <c r="M45" s="32" t="n">
        <f aca="false">K45-L45</f>
        <v>76</v>
      </c>
      <c r="N45" s="33" t="n">
        <f aca="false">DATE(YEAR(B45),MONTH(B45),1)</f>
        <v>45962</v>
      </c>
    </row>
    <row r="46" customFormat="false" ht="15" hidden="false" customHeight="false" outlineLevel="0" collapsed="false">
      <c r="A46" s="29" t="s">
        <v>120</v>
      </c>
      <c r="B46" s="30" t="n">
        <v>45977</v>
      </c>
      <c r="C46" s="29" t="s">
        <v>64</v>
      </c>
      <c r="D46" s="29" t="s">
        <v>70</v>
      </c>
      <c r="E46" s="29" t="n">
        <v>8</v>
      </c>
      <c r="F46" s="31" t="n">
        <v>0.05</v>
      </c>
      <c r="G46" s="14" t="str">
        <f aca="false">INDEX(Lists!$G$5:$G$12,MATCH(C46,Lists!$F$5:$F$12,0))</f>
        <v>East</v>
      </c>
      <c r="H46" s="14" t="str">
        <f aca="false">INDEX(Lists!$B$5:$B$12,MATCH(D46,Lists!$A$5:$A$12,0))</f>
        <v>Displays</v>
      </c>
      <c r="I46" s="32" t="n">
        <f aca="false">INDEX(Lists!$C$5:$C$12,MATCH(D46,Lists!$A$5:$A$12,0))</f>
        <v>520</v>
      </c>
      <c r="J46" s="32" t="n">
        <f aca="false">INDEX(Lists!$D$5:$D$12,MATCH(D46,Lists!$A$5:$A$12,0))</f>
        <v>340</v>
      </c>
      <c r="K46" s="32" t="n">
        <f aca="false">E46*I46*(1-F46)</f>
        <v>3952</v>
      </c>
      <c r="L46" s="32" t="n">
        <f aca="false">E46*J46</f>
        <v>2720</v>
      </c>
      <c r="M46" s="32" t="n">
        <f aca="false">K46-L46</f>
        <v>1232</v>
      </c>
      <c r="N46" s="33" t="n">
        <f aca="false">DATE(YEAR(B46),MONTH(B46),1)</f>
        <v>45962</v>
      </c>
    </row>
    <row r="47" customFormat="false" ht="15" hidden="false" customHeight="false" outlineLevel="0" collapsed="false">
      <c r="A47" s="29" t="s">
        <v>121</v>
      </c>
      <c r="B47" s="30" t="n">
        <v>45977</v>
      </c>
      <c r="C47" s="29" t="s">
        <v>86</v>
      </c>
      <c r="D47" s="29" t="s">
        <v>72</v>
      </c>
      <c r="E47" s="29" t="n">
        <v>9</v>
      </c>
      <c r="F47" s="31" t="n">
        <v>0</v>
      </c>
      <c r="G47" s="14" t="str">
        <f aca="false">INDEX(Lists!$G$5:$G$12,MATCH(C47,Lists!$F$5:$F$12,0))</f>
        <v>North</v>
      </c>
      <c r="H47" s="14" t="str">
        <f aca="false">INDEX(Lists!$B$5:$B$12,MATCH(D47,Lists!$A$5:$A$12,0))</f>
        <v>Accessories</v>
      </c>
      <c r="I47" s="32" t="n">
        <f aca="false">INDEX(Lists!$C$5:$C$12,MATCH(D47,Lists!$A$5:$A$12,0))</f>
        <v>80</v>
      </c>
      <c r="J47" s="32" t="n">
        <f aca="false">INDEX(Lists!$D$5:$D$12,MATCH(D47,Lists!$A$5:$A$12,0))</f>
        <v>38</v>
      </c>
      <c r="K47" s="32" t="n">
        <f aca="false">E47*I47*(1-F47)</f>
        <v>720</v>
      </c>
      <c r="L47" s="32" t="n">
        <f aca="false">E47*J47</f>
        <v>342</v>
      </c>
      <c r="M47" s="32" t="n">
        <f aca="false">K47-L47</f>
        <v>378</v>
      </c>
      <c r="N47" s="33" t="n">
        <f aca="false">DATE(YEAR(B47),MONTH(B47),1)</f>
        <v>45962</v>
      </c>
    </row>
    <row r="48" customFormat="false" ht="15" hidden="false" customHeight="false" outlineLevel="0" collapsed="false">
      <c r="A48" s="29" t="s">
        <v>122</v>
      </c>
      <c r="B48" s="30" t="n">
        <v>45978</v>
      </c>
      <c r="C48" s="29" t="s">
        <v>69</v>
      </c>
      <c r="D48" s="29" t="s">
        <v>67</v>
      </c>
      <c r="E48" s="29" t="n">
        <v>16</v>
      </c>
      <c r="F48" s="31" t="n">
        <v>0.05</v>
      </c>
      <c r="G48" s="14" t="str">
        <f aca="false">INDEX(Lists!$G$5:$G$12,MATCH(C48,Lists!$F$5:$F$12,0))</f>
        <v>East</v>
      </c>
      <c r="H48" s="14" t="str">
        <f aca="false">INDEX(Lists!$B$5:$B$12,MATCH(D48,Lists!$A$5:$A$12,0))</f>
        <v>Accessories</v>
      </c>
      <c r="I48" s="32" t="n">
        <f aca="false">INDEX(Lists!$C$5:$C$12,MATCH(D48,Lists!$A$5:$A$12,0))</f>
        <v>120</v>
      </c>
      <c r="J48" s="32" t="n">
        <f aca="false">INDEX(Lists!$D$5:$D$12,MATCH(D48,Lists!$A$5:$A$12,0))</f>
        <v>62</v>
      </c>
      <c r="K48" s="32" t="n">
        <f aca="false">E48*I48*(1-F48)</f>
        <v>1824</v>
      </c>
      <c r="L48" s="32" t="n">
        <f aca="false">E48*J48</f>
        <v>992</v>
      </c>
      <c r="M48" s="32" t="n">
        <f aca="false">K48-L48</f>
        <v>832</v>
      </c>
      <c r="N48" s="33" t="n">
        <f aca="false">DATE(YEAR(B48),MONTH(B48),1)</f>
        <v>45962</v>
      </c>
    </row>
    <row r="49" customFormat="false" ht="15" hidden="false" customHeight="false" outlineLevel="0" collapsed="false">
      <c r="A49" s="29" t="s">
        <v>123</v>
      </c>
      <c r="B49" s="30" t="n">
        <v>45978</v>
      </c>
      <c r="C49" s="29" t="s">
        <v>61</v>
      </c>
      <c r="D49" s="29" t="s">
        <v>62</v>
      </c>
      <c r="E49" s="29" t="n">
        <v>2</v>
      </c>
      <c r="F49" s="31" t="n">
        <v>0.1</v>
      </c>
      <c r="G49" s="14" t="str">
        <f aca="false">INDEX(Lists!$G$5:$G$12,MATCH(C49,Lists!$F$5:$F$12,0))</f>
        <v>South</v>
      </c>
      <c r="H49" s="14" t="str">
        <f aca="false">INDEX(Lists!$B$5:$B$12,MATCH(D49,Lists!$A$5:$A$12,0))</f>
        <v>Computers</v>
      </c>
      <c r="I49" s="32" t="n">
        <f aca="false">INDEX(Lists!$C$5:$C$12,MATCH(D49,Lists!$A$5:$A$12,0))</f>
        <v>1600</v>
      </c>
      <c r="J49" s="32" t="n">
        <f aca="false">INDEX(Lists!$D$5:$D$12,MATCH(D49,Lists!$A$5:$A$12,0))</f>
        <v>1100</v>
      </c>
      <c r="K49" s="32" t="n">
        <f aca="false">E49*I49*(1-F49)</f>
        <v>2880</v>
      </c>
      <c r="L49" s="32" t="n">
        <f aca="false">E49*J49</f>
        <v>2200</v>
      </c>
      <c r="M49" s="32" t="n">
        <f aca="false">K49-L49</f>
        <v>680</v>
      </c>
      <c r="N49" s="33" t="n">
        <f aca="false">DATE(YEAR(B49),MONTH(B49),1)</f>
        <v>45962</v>
      </c>
    </row>
    <row r="50" customFormat="false" ht="15" hidden="false" customHeight="false" outlineLevel="0" collapsed="false">
      <c r="A50" s="29" t="s">
        <v>124</v>
      </c>
      <c r="B50" s="30" t="n">
        <v>45980</v>
      </c>
      <c r="C50" s="29" t="s">
        <v>86</v>
      </c>
      <c r="D50" s="29" t="s">
        <v>65</v>
      </c>
      <c r="E50" s="29" t="n">
        <v>7</v>
      </c>
      <c r="F50" s="31" t="n">
        <v>0.05</v>
      </c>
      <c r="G50" s="14" t="str">
        <f aca="false">INDEX(Lists!$G$5:$G$12,MATCH(C50,Lists!$F$5:$F$12,0))</f>
        <v>North</v>
      </c>
      <c r="H50" s="14" t="str">
        <f aca="false">INDEX(Lists!$B$5:$B$12,MATCH(D50,Lists!$A$5:$A$12,0))</f>
        <v>Accessories</v>
      </c>
      <c r="I50" s="32" t="n">
        <f aca="false">INDEX(Lists!$C$5:$C$12,MATCH(D50,Lists!$A$5:$A$12,0))</f>
        <v>260</v>
      </c>
      <c r="J50" s="32" t="n">
        <f aca="false">INDEX(Lists!$D$5:$D$12,MATCH(D50,Lists!$A$5:$A$12,0))</f>
        <v>150</v>
      </c>
      <c r="K50" s="32" t="n">
        <f aca="false">E50*I50*(1-F50)</f>
        <v>1729</v>
      </c>
      <c r="L50" s="32" t="n">
        <f aca="false">E50*J50</f>
        <v>1050</v>
      </c>
      <c r="M50" s="32" t="n">
        <f aca="false">K50-L50</f>
        <v>679</v>
      </c>
      <c r="N50" s="33" t="n">
        <f aca="false">DATE(YEAR(B50),MONTH(B50),1)</f>
        <v>45962</v>
      </c>
    </row>
    <row r="51" customFormat="false" ht="15" hidden="false" customHeight="false" outlineLevel="0" collapsed="false">
      <c r="A51" s="29" t="s">
        <v>125</v>
      </c>
      <c r="B51" s="30" t="n">
        <v>45981</v>
      </c>
      <c r="C51" s="29" t="s">
        <v>88</v>
      </c>
      <c r="D51" s="29" t="s">
        <v>62</v>
      </c>
      <c r="E51" s="29" t="n">
        <v>1</v>
      </c>
      <c r="F51" s="31" t="n">
        <v>0.05</v>
      </c>
      <c r="G51" s="14" t="str">
        <f aca="false">INDEX(Lists!$G$5:$G$12,MATCH(C51,Lists!$F$5:$F$12,0))</f>
        <v>North</v>
      </c>
      <c r="H51" s="14" t="str">
        <f aca="false">INDEX(Lists!$B$5:$B$12,MATCH(D51,Lists!$A$5:$A$12,0))</f>
        <v>Computers</v>
      </c>
      <c r="I51" s="32" t="n">
        <f aca="false">INDEX(Lists!$C$5:$C$12,MATCH(D51,Lists!$A$5:$A$12,0))</f>
        <v>1600</v>
      </c>
      <c r="J51" s="32" t="n">
        <f aca="false">INDEX(Lists!$D$5:$D$12,MATCH(D51,Lists!$A$5:$A$12,0))</f>
        <v>1100</v>
      </c>
      <c r="K51" s="32" t="n">
        <f aca="false">E51*I51*(1-F51)</f>
        <v>1520</v>
      </c>
      <c r="L51" s="32" t="n">
        <f aca="false">E51*J51</f>
        <v>1100</v>
      </c>
      <c r="M51" s="32" t="n">
        <f aca="false">K51-L51</f>
        <v>420</v>
      </c>
      <c r="N51" s="33" t="n">
        <f aca="false">DATE(YEAR(B51),MONTH(B51),1)</f>
        <v>45962</v>
      </c>
    </row>
    <row r="52" customFormat="false" ht="15" hidden="false" customHeight="false" outlineLevel="0" collapsed="false">
      <c r="A52" s="29" t="s">
        <v>126</v>
      </c>
      <c r="B52" s="30" t="n">
        <v>45982</v>
      </c>
      <c r="C52" s="29" t="s">
        <v>74</v>
      </c>
      <c r="D52" s="29" t="s">
        <v>72</v>
      </c>
      <c r="E52" s="29" t="n">
        <v>10</v>
      </c>
      <c r="F52" s="31" t="n">
        <v>0.05</v>
      </c>
      <c r="G52" s="14" t="str">
        <f aca="false">INDEX(Lists!$G$5:$G$12,MATCH(C52,Lists!$F$5:$F$12,0))</f>
        <v>South</v>
      </c>
      <c r="H52" s="14" t="str">
        <f aca="false">INDEX(Lists!$B$5:$B$12,MATCH(D52,Lists!$A$5:$A$12,0))</f>
        <v>Accessories</v>
      </c>
      <c r="I52" s="32" t="n">
        <f aca="false">INDEX(Lists!$C$5:$C$12,MATCH(D52,Lists!$A$5:$A$12,0))</f>
        <v>80</v>
      </c>
      <c r="J52" s="32" t="n">
        <f aca="false">INDEX(Lists!$D$5:$D$12,MATCH(D52,Lists!$A$5:$A$12,0))</f>
        <v>38</v>
      </c>
      <c r="K52" s="32" t="n">
        <f aca="false">E52*I52*(1-F52)</f>
        <v>760</v>
      </c>
      <c r="L52" s="32" t="n">
        <f aca="false">E52*J52</f>
        <v>380</v>
      </c>
      <c r="M52" s="32" t="n">
        <f aca="false">K52-L52</f>
        <v>380</v>
      </c>
      <c r="N52" s="33" t="n">
        <f aca="false">DATE(YEAR(B52),MONTH(B52),1)</f>
        <v>45962</v>
      </c>
    </row>
    <row r="53" customFormat="false" ht="15" hidden="false" customHeight="false" outlineLevel="0" collapsed="false">
      <c r="A53" s="29" t="s">
        <v>127</v>
      </c>
      <c r="B53" s="30" t="n">
        <v>45982</v>
      </c>
      <c r="C53" s="29" t="s">
        <v>69</v>
      </c>
      <c r="D53" s="29" t="s">
        <v>67</v>
      </c>
      <c r="E53" s="29" t="n">
        <v>16</v>
      </c>
      <c r="F53" s="31" t="n">
        <v>0.05</v>
      </c>
      <c r="G53" s="14" t="str">
        <f aca="false">INDEX(Lists!$G$5:$G$12,MATCH(C53,Lists!$F$5:$F$12,0))</f>
        <v>East</v>
      </c>
      <c r="H53" s="14" t="str">
        <f aca="false">INDEX(Lists!$B$5:$B$12,MATCH(D53,Lists!$A$5:$A$12,0))</f>
        <v>Accessories</v>
      </c>
      <c r="I53" s="32" t="n">
        <f aca="false">INDEX(Lists!$C$5:$C$12,MATCH(D53,Lists!$A$5:$A$12,0))</f>
        <v>120</v>
      </c>
      <c r="J53" s="32" t="n">
        <f aca="false">INDEX(Lists!$D$5:$D$12,MATCH(D53,Lists!$A$5:$A$12,0))</f>
        <v>62</v>
      </c>
      <c r="K53" s="32" t="n">
        <f aca="false">E53*I53*(1-F53)</f>
        <v>1824</v>
      </c>
      <c r="L53" s="32" t="n">
        <f aca="false">E53*J53</f>
        <v>992</v>
      </c>
      <c r="M53" s="32" t="n">
        <f aca="false">K53-L53</f>
        <v>832</v>
      </c>
      <c r="N53" s="33" t="n">
        <f aca="false">DATE(YEAR(B53),MONTH(B53),1)</f>
        <v>45962</v>
      </c>
    </row>
    <row r="54" customFormat="false" ht="15" hidden="false" customHeight="false" outlineLevel="0" collapsed="false">
      <c r="A54" s="29" t="s">
        <v>128</v>
      </c>
      <c r="B54" s="30" t="n">
        <v>45982</v>
      </c>
      <c r="C54" s="29" t="s">
        <v>61</v>
      </c>
      <c r="D54" s="29" t="s">
        <v>75</v>
      </c>
      <c r="E54" s="29" t="n">
        <v>18</v>
      </c>
      <c r="F54" s="31" t="n">
        <v>0.05</v>
      </c>
      <c r="G54" s="14" t="str">
        <f aca="false">INDEX(Lists!$G$5:$G$12,MATCH(C54,Lists!$F$5:$F$12,0))</f>
        <v>South</v>
      </c>
      <c r="H54" s="14" t="str">
        <f aca="false">INDEX(Lists!$B$5:$B$12,MATCH(D54,Lists!$A$5:$A$12,0))</f>
        <v>Audio</v>
      </c>
      <c r="I54" s="32" t="n">
        <f aca="false">INDEX(Lists!$C$5:$C$12,MATCH(D54,Lists!$A$5:$A$12,0))</f>
        <v>140</v>
      </c>
      <c r="J54" s="32" t="n">
        <f aca="false">INDEX(Lists!$D$5:$D$12,MATCH(D54,Lists!$A$5:$A$12,0))</f>
        <v>70</v>
      </c>
      <c r="K54" s="32" t="n">
        <f aca="false">E54*I54*(1-F54)</f>
        <v>2394</v>
      </c>
      <c r="L54" s="32" t="n">
        <f aca="false">E54*J54</f>
        <v>1260</v>
      </c>
      <c r="M54" s="32" t="n">
        <f aca="false">K54-L54</f>
        <v>1134</v>
      </c>
      <c r="N54" s="33" t="n">
        <f aca="false">DATE(YEAR(B54),MONTH(B54),1)</f>
        <v>45962</v>
      </c>
    </row>
    <row r="55" customFormat="false" ht="15" hidden="false" customHeight="false" outlineLevel="0" collapsed="false">
      <c r="A55" s="29" t="s">
        <v>129</v>
      </c>
      <c r="B55" s="30" t="n">
        <v>45983</v>
      </c>
      <c r="C55" s="29" t="s">
        <v>61</v>
      </c>
      <c r="D55" s="29" t="s">
        <v>62</v>
      </c>
      <c r="E55" s="29" t="n">
        <v>2</v>
      </c>
      <c r="F55" s="31" t="n">
        <v>0.05</v>
      </c>
      <c r="G55" s="14" t="str">
        <f aca="false">INDEX(Lists!$G$5:$G$12,MATCH(C55,Lists!$F$5:$F$12,0))</f>
        <v>South</v>
      </c>
      <c r="H55" s="14" t="str">
        <f aca="false">INDEX(Lists!$B$5:$B$12,MATCH(D55,Lists!$A$5:$A$12,0))</f>
        <v>Computers</v>
      </c>
      <c r="I55" s="32" t="n">
        <f aca="false">INDEX(Lists!$C$5:$C$12,MATCH(D55,Lists!$A$5:$A$12,0))</f>
        <v>1600</v>
      </c>
      <c r="J55" s="32" t="n">
        <f aca="false">INDEX(Lists!$D$5:$D$12,MATCH(D55,Lists!$A$5:$A$12,0))</f>
        <v>1100</v>
      </c>
      <c r="K55" s="32" t="n">
        <f aca="false">E55*I55*(1-F55)</f>
        <v>3040</v>
      </c>
      <c r="L55" s="32" t="n">
        <f aca="false">E55*J55</f>
        <v>2200</v>
      </c>
      <c r="M55" s="32" t="n">
        <f aca="false">K55-L55</f>
        <v>840</v>
      </c>
      <c r="N55" s="33" t="n">
        <f aca="false">DATE(YEAR(B55),MONTH(B55),1)</f>
        <v>45962</v>
      </c>
    </row>
    <row r="56" customFormat="false" ht="15" hidden="false" customHeight="false" outlineLevel="0" collapsed="false">
      <c r="A56" s="29" t="s">
        <v>130</v>
      </c>
      <c r="B56" s="30" t="n">
        <v>45984</v>
      </c>
      <c r="C56" s="29" t="s">
        <v>69</v>
      </c>
      <c r="D56" s="29" t="s">
        <v>91</v>
      </c>
      <c r="E56" s="29" t="n">
        <v>14</v>
      </c>
      <c r="F56" s="31" t="n">
        <v>0.15</v>
      </c>
      <c r="G56" s="14" t="str">
        <f aca="false">INDEX(Lists!$G$5:$G$12,MATCH(C56,Lists!$F$5:$F$12,0))</f>
        <v>East</v>
      </c>
      <c r="H56" s="14" t="str">
        <f aca="false">INDEX(Lists!$B$5:$B$12,MATCH(D56,Lists!$A$5:$A$12,0))</f>
        <v>Audio</v>
      </c>
      <c r="I56" s="32" t="n">
        <f aca="false">INDEX(Lists!$C$5:$C$12,MATCH(D56,Lists!$A$5:$A$12,0))</f>
        <v>190</v>
      </c>
      <c r="J56" s="32" t="n">
        <f aca="false">INDEX(Lists!$D$5:$D$12,MATCH(D56,Lists!$A$5:$A$12,0))</f>
        <v>105</v>
      </c>
      <c r="K56" s="32" t="n">
        <f aca="false">E56*I56*(1-F56)</f>
        <v>2261</v>
      </c>
      <c r="L56" s="32" t="n">
        <f aca="false">E56*J56</f>
        <v>1470</v>
      </c>
      <c r="M56" s="32" t="n">
        <f aca="false">K56-L56</f>
        <v>791</v>
      </c>
      <c r="N56" s="33" t="n">
        <f aca="false">DATE(YEAR(B56),MONTH(B56),1)</f>
        <v>45962</v>
      </c>
    </row>
    <row r="57" customFormat="false" ht="15" hidden="false" customHeight="false" outlineLevel="0" collapsed="false">
      <c r="A57" s="29" t="s">
        <v>131</v>
      </c>
      <c r="B57" s="30" t="n">
        <v>45985</v>
      </c>
      <c r="C57" s="29" t="s">
        <v>69</v>
      </c>
      <c r="D57" s="29" t="s">
        <v>65</v>
      </c>
      <c r="E57" s="29" t="n">
        <v>1</v>
      </c>
      <c r="F57" s="31" t="n">
        <v>0.15</v>
      </c>
      <c r="G57" s="14" t="str">
        <f aca="false">INDEX(Lists!$G$5:$G$12,MATCH(C57,Lists!$F$5:$F$12,0))</f>
        <v>East</v>
      </c>
      <c r="H57" s="14" t="str">
        <f aca="false">INDEX(Lists!$B$5:$B$12,MATCH(D57,Lists!$A$5:$A$12,0))</f>
        <v>Accessories</v>
      </c>
      <c r="I57" s="32" t="n">
        <f aca="false">INDEX(Lists!$C$5:$C$12,MATCH(D57,Lists!$A$5:$A$12,0))</f>
        <v>260</v>
      </c>
      <c r="J57" s="32" t="n">
        <f aca="false">INDEX(Lists!$D$5:$D$12,MATCH(D57,Lists!$A$5:$A$12,0))</f>
        <v>150</v>
      </c>
      <c r="K57" s="32" t="n">
        <f aca="false">E57*I57*(1-F57)</f>
        <v>221</v>
      </c>
      <c r="L57" s="32" t="n">
        <f aca="false">E57*J57</f>
        <v>150</v>
      </c>
      <c r="M57" s="32" t="n">
        <f aca="false">K57-L57</f>
        <v>71</v>
      </c>
      <c r="N57" s="33" t="n">
        <f aca="false">DATE(YEAR(B57),MONTH(B57),1)</f>
        <v>45962</v>
      </c>
    </row>
    <row r="58" customFormat="false" ht="15" hidden="false" customHeight="false" outlineLevel="0" collapsed="false">
      <c r="A58" s="29" t="s">
        <v>132</v>
      </c>
      <c r="B58" s="30" t="n">
        <v>45985</v>
      </c>
      <c r="C58" s="29" t="s">
        <v>69</v>
      </c>
      <c r="D58" s="29" t="s">
        <v>70</v>
      </c>
      <c r="E58" s="29" t="n">
        <v>8</v>
      </c>
      <c r="F58" s="31" t="n">
        <v>0.15</v>
      </c>
      <c r="G58" s="14" t="str">
        <f aca="false">INDEX(Lists!$G$5:$G$12,MATCH(C58,Lists!$F$5:$F$12,0))</f>
        <v>East</v>
      </c>
      <c r="H58" s="14" t="str">
        <f aca="false">INDEX(Lists!$B$5:$B$12,MATCH(D58,Lists!$A$5:$A$12,0))</f>
        <v>Displays</v>
      </c>
      <c r="I58" s="32" t="n">
        <f aca="false">INDEX(Lists!$C$5:$C$12,MATCH(D58,Lists!$A$5:$A$12,0))</f>
        <v>520</v>
      </c>
      <c r="J58" s="32" t="n">
        <f aca="false">INDEX(Lists!$D$5:$D$12,MATCH(D58,Lists!$A$5:$A$12,0))</f>
        <v>340</v>
      </c>
      <c r="K58" s="32" t="n">
        <f aca="false">E58*I58*(1-F58)</f>
        <v>3536</v>
      </c>
      <c r="L58" s="32" t="n">
        <f aca="false">E58*J58</f>
        <v>2720</v>
      </c>
      <c r="M58" s="32" t="n">
        <f aca="false">K58-L58</f>
        <v>816</v>
      </c>
      <c r="N58" s="33" t="n">
        <f aca="false">DATE(YEAR(B58),MONTH(B58),1)</f>
        <v>45962</v>
      </c>
    </row>
    <row r="59" customFormat="false" ht="15" hidden="false" customHeight="false" outlineLevel="0" collapsed="false">
      <c r="A59" s="29" t="s">
        <v>133</v>
      </c>
      <c r="B59" s="30" t="n">
        <v>45986</v>
      </c>
      <c r="C59" s="29" t="s">
        <v>83</v>
      </c>
      <c r="D59" s="29" t="s">
        <v>91</v>
      </c>
      <c r="E59" s="29" t="n">
        <v>16</v>
      </c>
      <c r="F59" s="31" t="n">
        <v>0.05</v>
      </c>
      <c r="G59" s="14" t="str">
        <f aca="false">INDEX(Lists!$G$5:$G$12,MATCH(C59,Lists!$F$5:$F$12,0))</f>
        <v>West</v>
      </c>
      <c r="H59" s="14" t="str">
        <f aca="false">INDEX(Lists!$B$5:$B$12,MATCH(D59,Lists!$A$5:$A$12,0))</f>
        <v>Audio</v>
      </c>
      <c r="I59" s="32" t="n">
        <f aca="false">INDEX(Lists!$C$5:$C$12,MATCH(D59,Lists!$A$5:$A$12,0))</f>
        <v>190</v>
      </c>
      <c r="J59" s="32" t="n">
        <f aca="false">INDEX(Lists!$D$5:$D$12,MATCH(D59,Lists!$A$5:$A$12,0))</f>
        <v>105</v>
      </c>
      <c r="K59" s="32" t="n">
        <f aca="false">E59*I59*(1-F59)</f>
        <v>2888</v>
      </c>
      <c r="L59" s="32" t="n">
        <f aca="false">E59*J59</f>
        <v>1680</v>
      </c>
      <c r="M59" s="32" t="n">
        <f aca="false">K59-L59</f>
        <v>1208</v>
      </c>
      <c r="N59" s="33" t="n">
        <f aca="false">DATE(YEAR(B59),MONTH(B59),1)</f>
        <v>45962</v>
      </c>
    </row>
    <row r="60" customFormat="false" ht="15" hidden="false" customHeight="false" outlineLevel="0" collapsed="false">
      <c r="A60" s="29" t="s">
        <v>134</v>
      </c>
      <c r="B60" s="30" t="n">
        <v>45987</v>
      </c>
      <c r="C60" s="29" t="s">
        <v>93</v>
      </c>
      <c r="D60" s="29" t="s">
        <v>65</v>
      </c>
      <c r="E60" s="29" t="n">
        <v>6</v>
      </c>
      <c r="F60" s="31" t="n">
        <v>0.05</v>
      </c>
      <c r="G60" s="14" t="str">
        <f aca="false">INDEX(Lists!$G$5:$G$12,MATCH(C60,Lists!$F$5:$F$12,0))</f>
        <v>West</v>
      </c>
      <c r="H60" s="14" t="str">
        <f aca="false">INDEX(Lists!$B$5:$B$12,MATCH(D60,Lists!$A$5:$A$12,0))</f>
        <v>Accessories</v>
      </c>
      <c r="I60" s="32" t="n">
        <f aca="false">INDEX(Lists!$C$5:$C$12,MATCH(D60,Lists!$A$5:$A$12,0))</f>
        <v>260</v>
      </c>
      <c r="J60" s="32" t="n">
        <f aca="false">INDEX(Lists!$D$5:$D$12,MATCH(D60,Lists!$A$5:$A$12,0))</f>
        <v>150</v>
      </c>
      <c r="K60" s="32" t="n">
        <f aca="false">E60*I60*(1-F60)</f>
        <v>1482</v>
      </c>
      <c r="L60" s="32" t="n">
        <f aca="false">E60*J60</f>
        <v>900</v>
      </c>
      <c r="M60" s="32" t="n">
        <f aca="false">K60-L60</f>
        <v>582</v>
      </c>
      <c r="N60" s="33" t="n">
        <f aca="false">DATE(YEAR(B60),MONTH(B60),1)</f>
        <v>45962</v>
      </c>
    </row>
    <row r="61" customFormat="false" ht="15" hidden="false" customHeight="false" outlineLevel="0" collapsed="false">
      <c r="A61" s="29" t="s">
        <v>135</v>
      </c>
      <c r="B61" s="30" t="n">
        <v>45989</v>
      </c>
      <c r="C61" s="29" t="s">
        <v>61</v>
      </c>
      <c r="D61" s="29" t="s">
        <v>91</v>
      </c>
      <c r="E61" s="29" t="n">
        <v>13</v>
      </c>
      <c r="F61" s="31" t="n">
        <v>0.05</v>
      </c>
      <c r="G61" s="14" t="str">
        <f aca="false">INDEX(Lists!$G$5:$G$12,MATCH(C61,Lists!$F$5:$F$12,0))</f>
        <v>South</v>
      </c>
      <c r="H61" s="14" t="str">
        <f aca="false">INDEX(Lists!$B$5:$B$12,MATCH(D61,Lists!$A$5:$A$12,0))</f>
        <v>Audio</v>
      </c>
      <c r="I61" s="32" t="n">
        <f aca="false">INDEX(Lists!$C$5:$C$12,MATCH(D61,Lists!$A$5:$A$12,0))</f>
        <v>190</v>
      </c>
      <c r="J61" s="32" t="n">
        <f aca="false">INDEX(Lists!$D$5:$D$12,MATCH(D61,Lists!$A$5:$A$12,0))</f>
        <v>105</v>
      </c>
      <c r="K61" s="32" t="n">
        <f aca="false">E61*I61*(1-F61)</f>
        <v>2346.5</v>
      </c>
      <c r="L61" s="32" t="n">
        <f aca="false">E61*J61</f>
        <v>1365</v>
      </c>
      <c r="M61" s="32" t="n">
        <f aca="false">K61-L61</f>
        <v>981.5</v>
      </c>
      <c r="N61" s="33" t="n">
        <f aca="false">DATE(YEAR(B61),MONTH(B61),1)</f>
        <v>45962</v>
      </c>
    </row>
    <row r="62" customFormat="false" ht="15" hidden="false" customHeight="false" outlineLevel="0" collapsed="false">
      <c r="A62" s="29" t="s">
        <v>136</v>
      </c>
      <c r="B62" s="30" t="n">
        <v>45990</v>
      </c>
      <c r="C62" s="29" t="s">
        <v>93</v>
      </c>
      <c r="D62" s="29" t="s">
        <v>70</v>
      </c>
      <c r="E62" s="29" t="n">
        <v>6</v>
      </c>
      <c r="F62" s="31" t="n">
        <v>0</v>
      </c>
      <c r="G62" s="14" t="str">
        <f aca="false">INDEX(Lists!$G$5:$G$12,MATCH(C62,Lists!$F$5:$F$12,0))</f>
        <v>West</v>
      </c>
      <c r="H62" s="14" t="str">
        <f aca="false">INDEX(Lists!$B$5:$B$12,MATCH(D62,Lists!$A$5:$A$12,0))</f>
        <v>Displays</v>
      </c>
      <c r="I62" s="32" t="n">
        <f aca="false">INDEX(Lists!$C$5:$C$12,MATCH(D62,Lists!$A$5:$A$12,0))</f>
        <v>520</v>
      </c>
      <c r="J62" s="32" t="n">
        <f aca="false">INDEX(Lists!$D$5:$D$12,MATCH(D62,Lists!$A$5:$A$12,0))</f>
        <v>340</v>
      </c>
      <c r="K62" s="32" t="n">
        <f aca="false">E62*I62*(1-F62)</f>
        <v>3120</v>
      </c>
      <c r="L62" s="32" t="n">
        <f aca="false">E62*J62</f>
        <v>2040</v>
      </c>
      <c r="M62" s="32" t="n">
        <f aca="false">K62-L62</f>
        <v>1080</v>
      </c>
      <c r="N62" s="33" t="n">
        <f aca="false">DATE(YEAR(B62),MONTH(B62),1)</f>
        <v>45962</v>
      </c>
    </row>
    <row r="63" customFormat="false" ht="15" hidden="false" customHeight="false" outlineLevel="0" collapsed="false">
      <c r="A63" s="29" t="s">
        <v>137</v>
      </c>
      <c r="B63" s="30" t="n">
        <v>45991</v>
      </c>
      <c r="C63" s="29" t="s">
        <v>93</v>
      </c>
      <c r="D63" s="29" t="s">
        <v>72</v>
      </c>
      <c r="E63" s="29" t="n">
        <v>5</v>
      </c>
      <c r="F63" s="31" t="n">
        <v>0.05</v>
      </c>
      <c r="G63" s="14" t="str">
        <f aca="false">INDEX(Lists!$G$5:$G$12,MATCH(C63,Lists!$F$5:$F$12,0))</f>
        <v>West</v>
      </c>
      <c r="H63" s="14" t="str">
        <f aca="false">INDEX(Lists!$B$5:$B$12,MATCH(D63,Lists!$A$5:$A$12,0))</f>
        <v>Accessories</v>
      </c>
      <c r="I63" s="32" t="n">
        <f aca="false">INDEX(Lists!$C$5:$C$12,MATCH(D63,Lists!$A$5:$A$12,0))</f>
        <v>80</v>
      </c>
      <c r="J63" s="32" t="n">
        <f aca="false">INDEX(Lists!$D$5:$D$12,MATCH(D63,Lists!$A$5:$A$12,0))</f>
        <v>38</v>
      </c>
      <c r="K63" s="32" t="n">
        <f aca="false">E63*I63*(1-F63)</f>
        <v>380</v>
      </c>
      <c r="L63" s="32" t="n">
        <f aca="false">E63*J63</f>
        <v>190</v>
      </c>
      <c r="M63" s="32" t="n">
        <f aca="false">K63-L63</f>
        <v>190</v>
      </c>
      <c r="N63" s="33" t="n">
        <f aca="false">DATE(YEAR(B63),MONTH(B63),1)</f>
        <v>45962</v>
      </c>
    </row>
    <row r="64" customFormat="false" ht="15" hidden="false" customHeight="false" outlineLevel="0" collapsed="false">
      <c r="A64" s="29" t="s">
        <v>138</v>
      </c>
      <c r="B64" s="30" t="n">
        <v>45993</v>
      </c>
      <c r="C64" s="29" t="s">
        <v>86</v>
      </c>
      <c r="D64" s="29" t="s">
        <v>67</v>
      </c>
      <c r="E64" s="29" t="n">
        <v>17</v>
      </c>
      <c r="F64" s="31" t="n">
        <v>0</v>
      </c>
      <c r="G64" s="14" t="str">
        <f aca="false">INDEX(Lists!$G$5:$G$12,MATCH(C64,Lists!$F$5:$F$12,0))</f>
        <v>North</v>
      </c>
      <c r="H64" s="14" t="str">
        <f aca="false">INDEX(Lists!$B$5:$B$12,MATCH(D64,Lists!$A$5:$A$12,0))</f>
        <v>Accessories</v>
      </c>
      <c r="I64" s="32" t="n">
        <f aca="false">INDEX(Lists!$C$5:$C$12,MATCH(D64,Lists!$A$5:$A$12,0))</f>
        <v>120</v>
      </c>
      <c r="J64" s="32" t="n">
        <f aca="false">INDEX(Lists!$D$5:$D$12,MATCH(D64,Lists!$A$5:$A$12,0))</f>
        <v>62</v>
      </c>
      <c r="K64" s="32" t="n">
        <f aca="false">E64*I64*(1-F64)</f>
        <v>2040</v>
      </c>
      <c r="L64" s="32" t="n">
        <f aca="false">E64*J64</f>
        <v>1054</v>
      </c>
      <c r="M64" s="32" t="n">
        <f aca="false">K64-L64</f>
        <v>986</v>
      </c>
      <c r="N64" s="33" t="n">
        <f aca="false">DATE(YEAR(B64),MONTH(B64),1)</f>
        <v>45992</v>
      </c>
    </row>
    <row r="65" customFormat="false" ht="15" hidden="false" customHeight="false" outlineLevel="0" collapsed="false">
      <c r="A65" s="29" t="s">
        <v>139</v>
      </c>
      <c r="B65" s="30" t="n">
        <v>45993</v>
      </c>
      <c r="C65" s="29" t="s">
        <v>64</v>
      </c>
      <c r="D65" s="29" t="s">
        <v>75</v>
      </c>
      <c r="E65" s="29" t="n">
        <v>4</v>
      </c>
      <c r="F65" s="31" t="n">
        <v>0.15</v>
      </c>
      <c r="G65" s="14" t="str">
        <f aca="false">INDEX(Lists!$G$5:$G$12,MATCH(C65,Lists!$F$5:$F$12,0))</f>
        <v>East</v>
      </c>
      <c r="H65" s="14" t="str">
        <f aca="false">INDEX(Lists!$B$5:$B$12,MATCH(D65,Lists!$A$5:$A$12,0))</f>
        <v>Audio</v>
      </c>
      <c r="I65" s="32" t="n">
        <f aca="false">INDEX(Lists!$C$5:$C$12,MATCH(D65,Lists!$A$5:$A$12,0))</f>
        <v>140</v>
      </c>
      <c r="J65" s="32" t="n">
        <f aca="false">INDEX(Lists!$D$5:$D$12,MATCH(D65,Lists!$A$5:$A$12,0))</f>
        <v>70</v>
      </c>
      <c r="K65" s="32" t="n">
        <f aca="false">E65*I65*(1-F65)</f>
        <v>476</v>
      </c>
      <c r="L65" s="32" t="n">
        <f aca="false">E65*J65</f>
        <v>280</v>
      </c>
      <c r="M65" s="32" t="n">
        <f aca="false">K65-L65</f>
        <v>196</v>
      </c>
      <c r="N65" s="33" t="n">
        <f aca="false">DATE(YEAR(B65),MONTH(B65),1)</f>
        <v>45992</v>
      </c>
    </row>
    <row r="66" customFormat="false" ht="15" hidden="false" customHeight="false" outlineLevel="0" collapsed="false">
      <c r="A66" s="29" t="s">
        <v>140</v>
      </c>
      <c r="B66" s="30" t="n">
        <v>45994</v>
      </c>
      <c r="C66" s="29" t="s">
        <v>83</v>
      </c>
      <c r="D66" s="29" t="s">
        <v>91</v>
      </c>
      <c r="E66" s="29" t="n">
        <v>17</v>
      </c>
      <c r="F66" s="31" t="n">
        <v>0</v>
      </c>
      <c r="G66" s="14" t="str">
        <f aca="false">INDEX(Lists!$G$5:$G$12,MATCH(C66,Lists!$F$5:$F$12,0))</f>
        <v>West</v>
      </c>
      <c r="H66" s="14" t="str">
        <f aca="false">INDEX(Lists!$B$5:$B$12,MATCH(D66,Lists!$A$5:$A$12,0))</f>
        <v>Audio</v>
      </c>
      <c r="I66" s="32" t="n">
        <f aca="false">INDEX(Lists!$C$5:$C$12,MATCH(D66,Lists!$A$5:$A$12,0))</f>
        <v>190</v>
      </c>
      <c r="J66" s="32" t="n">
        <f aca="false">INDEX(Lists!$D$5:$D$12,MATCH(D66,Lists!$A$5:$A$12,0))</f>
        <v>105</v>
      </c>
      <c r="K66" s="32" t="n">
        <f aca="false">E66*I66*(1-F66)</f>
        <v>3230</v>
      </c>
      <c r="L66" s="32" t="n">
        <f aca="false">E66*J66</f>
        <v>1785</v>
      </c>
      <c r="M66" s="32" t="n">
        <f aca="false">K66-L66</f>
        <v>1445</v>
      </c>
      <c r="N66" s="33" t="n">
        <f aca="false">DATE(YEAR(B66),MONTH(B66),1)</f>
        <v>45992</v>
      </c>
    </row>
    <row r="67" customFormat="false" ht="15" hidden="false" customHeight="false" outlineLevel="0" collapsed="false">
      <c r="A67" s="29" t="s">
        <v>141</v>
      </c>
      <c r="B67" s="30" t="n">
        <v>45995</v>
      </c>
      <c r="C67" s="29" t="s">
        <v>86</v>
      </c>
      <c r="D67" s="29" t="s">
        <v>75</v>
      </c>
      <c r="E67" s="29" t="n">
        <v>5</v>
      </c>
      <c r="F67" s="31" t="n">
        <v>0.1</v>
      </c>
      <c r="G67" s="14" t="str">
        <f aca="false">INDEX(Lists!$G$5:$G$12,MATCH(C67,Lists!$F$5:$F$12,0))</f>
        <v>North</v>
      </c>
      <c r="H67" s="14" t="str">
        <f aca="false">INDEX(Lists!$B$5:$B$12,MATCH(D67,Lists!$A$5:$A$12,0))</f>
        <v>Audio</v>
      </c>
      <c r="I67" s="32" t="n">
        <f aca="false">INDEX(Lists!$C$5:$C$12,MATCH(D67,Lists!$A$5:$A$12,0))</f>
        <v>140</v>
      </c>
      <c r="J67" s="32" t="n">
        <f aca="false">INDEX(Lists!$D$5:$D$12,MATCH(D67,Lists!$A$5:$A$12,0))</f>
        <v>70</v>
      </c>
      <c r="K67" s="32" t="n">
        <f aca="false">E67*I67*(1-F67)</f>
        <v>630</v>
      </c>
      <c r="L67" s="32" t="n">
        <f aca="false">E67*J67</f>
        <v>350</v>
      </c>
      <c r="M67" s="32" t="n">
        <f aca="false">K67-L67</f>
        <v>280</v>
      </c>
      <c r="N67" s="33" t="n">
        <f aca="false">DATE(YEAR(B67),MONTH(B67),1)</f>
        <v>45992</v>
      </c>
    </row>
    <row r="68" customFormat="false" ht="15" hidden="false" customHeight="false" outlineLevel="0" collapsed="false">
      <c r="A68" s="29" t="s">
        <v>142</v>
      </c>
      <c r="B68" s="30" t="n">
        <v>45995</v>
      </c>
      <c r="C68" s="29" t="s">
        <v>74</v>
      </c>
      <c r="D68" s="29" t="s">
        <v>67</v>
      </c>
      <c r="E68" s="29" t="n">
        <v>16</v>
      </c>
      <c r="F68" s="31" t="n">
        <v>0</v>
      </c>
      <c r="G68" s="14" t="str">
        <f aca="false">INDEX(Lists!$G$5:$G$12,MATCH(C68,Lists!$F$5:$F$12,0))</f>
        <v>South</v>
      </c>
      <c r="H68" s="14" t="str">
        <f aca="false">INDEX(Lists!$B$5:$B$12,MATCH(D68,Lists!$A$5:$A$12,0))</f>
        <v>Accessories</v>
      </c>
      <c r="I68" s="32" t="n">
        <f aca="false">INDEX(Lists!$C$5:$C$12,MATCH(D68,Lists!$A$5:$A$12,0))</f>
        <v>120</v>
      </c>
      <c r="J68" s="32" t="n">
        <f aca="false">INDEX(Lists!$D$5:$D$12,MATCH(D68,Lists!$A$5:$A$12,0))</f>
        <v>62</v>
      </c>
      <c r="K68" s="32" t="n">
        <f aca="false">E68*I68*(1-F68)</f>
        <v>1920</v>
      </c>
      <c r="L68" s="32" t="n">
        <f aca="false">E68*J68</f>
        <v>992</v>
      </c>
      <c r="M68" s="32" t="n">
        <f aca="false">K68-L68</f>
        <v>928</v>
      </c>
      <c r="N68" s="33" t="n">
        <f aca="false">DATE(YEAR(B68),MONTH(B68),1)</f>
        <v>45992</v>
      </c>
    </row>
    <row r="69" customFormat="false" ht="15" hidden="false" customHeight="false" outlineLevel="0" collapsed="false">
      <c r="A69" s="29" t="s">
        <v>143</v>
      </c>
      <c r="B69" s="30" t="n">
        <v>45998</v>
      </c>
      <c r="C69" s="29" t="s">
        <v>69</v>
      </c>
      <c r="D69" s="29" t="s">
        <v>72</v>
      </c>
      <c r="E69" s="29" t="n">
        <v>20</v>
      </c>
      <c r="F69" s="31" t="n">
        <v>0</v>
      </c>
      <c r="G69" s="14" t="str">
        <f aca="false">INDEX(Lists!$G$5:$G$12,MATCH(C69,Lists!$F$5:$F$12,0))</f>
        <v>East</v>
      </c>
      <c r="H69" s="14" t="str">
        <f aca="false">INDEX(Lists!$B$5:$B$12,MATCH(D69,Lists!$A$5:$A$12,0))</f>
        <v>Accessories</v>
      </c>
      <c r="I69" s="32" t="n">
        <f aca="false">INDEX(Lists!$C$5:$C$12,MATCH(D69,Lists!$A$5:$A$12,0))</f>
        <v>80</v>
      </c>
      <c r="J69" s="32" t="n">
        <f aca="false">INDEX(Lists!$D$5:$D$12,MATCH(D69,Lists!$A$5:$A$12,0))</f>
        <v>38</v>
      </c>
      <c r="K69" s="32" t="n">
        <f aca="false">E69*I69*(1-F69)</f>
        <v>1600</v>
      </c>
      <c r="L69" s="32" t="n">
        <f aca="false">E69*J69</f>
        <v>760</v>
      </c>
      <c r="M69" s="32" t="n">
        <f aca="false">K69-L69</f>
        <v>840</v>
      </c>
      <c r="N69" s="33" t="n">
        <f aca="false">DATE(YEAR(B69),MONTH(B69),1)</f>
        <v>45992</v>
      </c>
    </row>
    <row r="70" customFormat="false" ht="15" hidden="false" customHeight="false" outlineLevel="0" collapsed="false">
      <c r="A70" s="29" t="s">
        <v>144</v>
      </c>
      <c r="B70" s="30" t="n">
        <v>45998</v>
      </c>
      <c r="C70" s="29" t="s">
        <v>88</v>
      </c>
      <c r="D70" s="29" t="s">
        <v>72</v>
      </c>
      <c r="E70" s="29" t="n">
        <v>11</v>
      </c>
      <c r="F70" s="31" t="n">
        <v>0.15</v>
      </c>
      <c r="G70" s="14" t="str">
        <f aca="false">INDEX(Lists!$G$5:$G$12,MATCH(C70,Lists!$F$5:$F$12,0))</f>
        <v>North</v>
      </c>
      <c r="H70" s="14" t="str">
        <f aca="false">INDEX(Lists!$B$5:$B$12,MATCH(D70,Lists!$A$5:$A$12,0))</f>
        <v>Accessories</v>
      </c>
      <c r="I70" s="32" t="n">
        <f aca="false">INDEX(Lists!$C$5:$C$12,MATCH(D70,Lists!$A$5:$A$12,0))</f>
        <v>80</v>
      </c>
      <c r="J70" s="32" t="n">
        <f aca="false">INDEX(Lists!$D$5:$D$12,MATCH(D70,Lists!$A$5:$A$12,0))</f>
        <v>38</v>
      </c>
      <c r="K70" s="32" t="n">
        <f aca="false">E70*I70*(1-F70)</f>
        <v>748</v>
      </c>
      <c r="L70" s="32" t="n">
        <f aca="false">E70*J70</f>
        <v>418</v>
      </c>
      <c r="M70" s="32" t="n">
        <f aca="false">K70-L70</f>
        <v>330</v>
      </c>
      <c r="N70" s="33" t="n">
        <f aca="false">DATE(YEAR(B70),MONTH(B70),1)</f>
        <v>45992</v>
      </c>
    </row>
    <row r="71" customFormat="false" ht="15" hidden="false" customHeight="false" outlineLevel="0" collapsed="false">
      <c r="A71" s="29" t="s">
        <v>145</v>
      </c>
      <c r="B71" s="30" t="n">
        <v>45999</v>
      </c>
      <c r="C71" s="29" t="s">
        <v>93</v>
      </c>
      <c r="D71" s="29" t="s">
        <v>91</v>
      </c>
      <c r="E71" s="29" t="n">
        <v>16</v>
      </c>
      <c r="F71" s="31" t="n">
        <v>0</v>
      </c>
      <c r="G71" s="14" t="str">
        <f aca="false">INDEX(Lists!$G$5:$G$12,MATCH(C71,Lists!$F$5:$F$12,0))</f>
        <v>West</v>
      </c>
      <c r="H71" s="14" t="str">
        <f aca="false">INDEX(Lists!$B$5:$B$12,MATCH(D71,Lists!$A$5:$A$12,0))</f>
        <v>Audio</v>
      </c>
      <c r="I71" s="32" t="n">
        <f aca="false">INDEX(Lists!$C$5:$C$12,MATCH(D71,Lists!$A$5:$A$12,0))</f>
        <v>190</v>
      </c>
      <c r="J71" s="32" t="n">
        <f aca="false">INDEX(Lists!$D$5:$D$12,MATCH(D71,Lists!$A$5:$A$12,0))</f>
        <v>105</v>
      </c>
      <c r="K71" s="32" t="n">
        <f aca="false">E71*I71*(1-F71)</f>
        <v>3040</v>
      </c>
      <c r="L71" s="32" t="n">
        <f aca="false">E71*J71</f>
        <v>1680</v>
      </c>
      <c r="M71" s="32" t="n">
        <f aca="false">K71-L71</f>
        <v>1360</v>
      </c>
      <c r="N71" s="33" t="n">
        <f aca="false">DATE(YEAR(B71),MONTH(B71),1)</f>
        <v>45992</v>
      </c>
    </row>
    <row r="72" customFormat="false" ht="15" hidden="false" customHeight="false" outlineLevel="0" collapsed="false">
      <c r="A72" s="29" t="s">
        <v>146</v>
      </c>
      <c r="B72" s="30" t="n">
        <v>46000</v>
      </c>
      <c r="C72" s="29" t="s">
        <v>86</v>
      </c>
      <c r="D72" s="29" t="s">
        <v>91</v>
      </c>
      <c r="E72" s="29" t="n">
        <v>3</v>
      </c>
      <c r="F72" s="31" t="n">
        <v>0.05</v>
      </c>
      <c r="G72" s="14" t="str">
        <f aca="false">INDEX(Lists!$G$5:$G$12,MATCH(C72,Lists!$F$5:$F$12,0))</f>
        <v>North</v>
      </c>
      <c r="H72" s="14" t="str">
        <f aca="false">INDEX(Lists!$B$5:$B$12,MATCH(D72,Lists!$A$5:$A$12,0))</f>
        <v>Audio</v>
      </c>
      <c r="I72" s="32" t="n">
        <f aca="false">INDEX(Lists!$C$5:$C$12,MATCH(D72,Lists!$A$5:$A$12,0))</f>
        <v>190</v>
      </c>
      <c r="J72" s="32" t="n">
        <f aca="false">INDEX(Lists!$D$5:$D$12,MATCH(D72,Lists!$A$5:$A$12,0))</f>
        <v>105</v>
      </c>
      <c r="K72" s="32" t="n">
        <f aca="false">E72*I72*(1-F72)</f>
        <v>541.5</v>
      </c>
      <c r="L72" s="32" t="n">
        <f aca="false">E72*J72</f>
        <v>315</v>
      </c>
      <c r="M72" s="32" t="n">
        <f aca="false">K72-L72</f>
        <v>226.5</v>
      </c>
      <c r="N72" s="33" t="n">
        <f aca="false">DATE(YEAR(B72),MONTH(B72),1)</f>
        <v>45992</v>
      </c>
    </row>
    <row r="73" customFormat="false" ht="15" hidden="false" customHeight="false" outlineLevel="0" collapsed="false">
      <c r="A73" s="29" t="s">
        <v>147</v>
      </c>
      <c r="B73" s="30" t="n">
        <v>46001</v>
      </c>
      <c r="C73" s="29" t="s">
        <v>69</v>
      </c>
      <c r="D73" s="29" t="s">
        <v>70</v>
      </c>
      <c r="E73" s="29" t="n">
        <v>2</v>
      </c>
      <c r="F73" s="31" t="n">
        <v>0</v>
      </c>
      <c r="G73" s="14" t="str">
        <f aca="false">INDEX(Lists!$G$5:$G$12,MATCH(C73,Lists!$F$5:$F$12,0))</f>
        <v>East</v>
      </c>
      <c r="H73" s="14" t="str">
        <f aca="false">INDEX(Lists!$B$5:$B$12,MATCH(D73,Lists!$A$5:$A$12,0))</f>
        <v>Displays</v>
      </c>
      <c r="I73" s="32" t="n">
        <f aca="false">INDEX(Lists!$C$5:$C$12,MATCH(D73,Lists!$A$5:$A$12,0))</f>
        <v>520</v>
      </c>
      <c r="J73" s="32" t="n">
        <f aca="false">INDEX(Lists!$D$5:$D$12,MATCH(D73,Lists!$A$5:$A$12,0))</f>
        <v>340</v>
      </c>
      <c r="K73" s="32" t="n">
        <f aca="false">E73*I73*(1-F73)</f>
        <v>1040</v>
      </c>
      <c r="L73" s="32" t="n">
        <f aca="false">E73*J73</f>
        <v>680</v>
      </c>
      <c r="M73" s="32" t="n">
        <f aca="false">K73-L73</f>
        <v>360</v>
      </c>
      <c r="N73" s="33" t="n">
        <f aca="false">DATE(YEAR(B73),MONTH(B73),1)</f>
        <v>45992</v>
      </c>
    </row>
    <row r="74" customFormat="false" ht="15" hidden="false" customHeight="false" outlineLevel="0" collapsed="false">
      <c r="A74" s="29" t="s">
        <v>148</v>
      </c>
      <c r="B74" s="30" t="n">
        <v>46001</v>
      </c>
      <c r="C74" s="29" t="s">
        <v>88</v>
      </c>
      <c r="D74" s="29" t="s">
        <v>67</v>
      </c>
      <c r="E74" s="29" t="n">
        <v>4</v>
      </c>
      <c r="F74" s="31" t="n">
        <v>0.15</v>
      </c>
      <c r="G74" s="14" t="str">
        <f aca="false">INDEX(Lists!$G$5:$G$12,MATCH(C74,Lists!$F$5:$F$12,0))</f>
        <v>North</v>
      </c>
      <c r="H74" s="14" t="str">
        <f aca="false">INDEX(Lists!$B$5:$B$12,MATCH(D74,Lists!$A$5:$A$12,0))</f>
        <v>Accessories</v>
      </c>
      <c r="I74" s="32" t="n">
        <f aca="false">INDEX(Lists!$C$5:$C$12,MATCH(D74,Lists!$A$5:$A$12,0))</f>
        <v>120</v>
      </c>
      <c r="J74" s="32" t="n">
        <f aca="false">INDEX(Lists!$D$5:$D$12,MATCH(D74,Lists!$A$5:$A$12,0))</f>
        <v>62</v>
      </c>
      <c r="K74" s="32" t="n">
        <f aca="false">E74*I74*(1-F74)</f>
        <v>408</v>
      </c>
      <c r="L74" s="32" t="n">
        <f aca="false">E74*J74</f>
        <v>248</v>
      </c>
      <c r="M74" s="32" t="n">
        <f aca="false">K74-L74</f>
        <v>160</v>
      </c>
      <c r="N74" s="33" t="n">
        <f aca="false">DATE(YEAR(B74),MONTH(B74),1)</f>
        <v>45992</v>
      </c>
    </row>
    <row r="75" customFormat="false" ht="15" hidden="false" customHeight="false" outlineLevel="0" collapsed="false">
      <c r="A75" s="29" t="s">
        <v>149</v>
      </c>
      <c r="B75" s="30" t="n">
        <v>46002</v>
      </c>
      <c r="C75" s="29" t="s">
        <v>69</v>
      </c>
      <c r="D75" s="29" t="s">
        <v>67</v>
      </c>
      <c r="E75" s="29" t="n">
        <v>2</v>
      </c>
      <c r="F75" s="31" t="n">
        <v>0</v>
      </c>
      <c r="G75" s="14" t="str">
        <f aca="false">INDEX(Lists!$G$5:$G$12,MATCH(C75,Lists!$F$5:$F$12,0))</f>
        <v>East</v>
      </c>
      <c r="H75" s="14" t="str">
        <f aca="false">INDEX(Lists!$B$5:$B$12,MATCH(D75,Lists!$A$5:$A$12,0))</f>
        <v>Accessories</v>
      </c>
      <c r="I75" s="32" t="n">
        <f aca="false">INDEX(Lists!$C$5:$C$12,MATCH(D75,Lists!$A$5:$A$12,0))</f>
        <v>120</v>
      </c>
      <c r="J75" s="32" t="n">
        <f aca="false">INDEX(Lists!$D$5:$D$12,MATCH(D75,Lists!$A$5:$A$12,0))</f>
        <v>62</v>
      </c>
      <c r="K75" s="32" t="n">
        <f aca="false">E75*I75*(1-F75)</f>
        <v>240</v>
      </c>
      <c r="L75" s="32" t="n">
        <f aca="false">E75*J75</f>
        <v>124</v>
      </c>
      <c r="M75" s="32" t="n">
        <f aca="false">K75-L75</f>
        <v>116</v>
      </c>
      <c r="N75" s="33" t="n">
        <f aca="false">DATE(YEAR(B75),MONTH(B75),1)</f>
        <v>45992</v>
      </c>
    </row>
    <row r="76" customFormat="false" ht="15" hidden="false" customHeight="false" outlineLevel="0" collapsed="false">
      <c r="A76" s="29" t="s">
        <v>150</v>
      </c>
      <c r="B76" s="30" t="n">
        <v>46002</v>
      </c>
      <c r="C76" s="29" t="s">
        <v>86</v>
      </c>
      <c r="D76" s="29" t="s">
        <v>65</v>
      </c>
      <c r="E76" s="29" t="n">
        <v>6</v>
      </c>
      <c r="F76" s="31" t="n">
        <v>0</v>
      </c>
      <c r="G76" s="14" t="str">
        <f aca="false">INDEX(Lists!$G$5:$G$12,MATCH(C76,Lists!$F$5:$F$12,0))</f>
        <v>North</v>
      </c>
      <c r="H76" s="14" t="str">
        <f aca="false">INDEX(Lists!$B$5:$B$12,MATCH(D76,Lists!$A$5:$A$12,0))</f>
        <v>Accessories</v>
      </c>
      <c r="I76" s="32" t="n">
        <f aca="false">INDEX(Lists!$C$5:$C$12,MATCH(D76,Lists!$A$5:$A$12,0))</f>
        <v>260</v>
      </c>
      <c r="J76" s="32" t="n">
        <f aca="false">INDEX(Lists!$D$5:$D$12,MATCH(D76,Lists!$A$5:$A$12,0))</f>
        <v>150</v>
      </c>
      <c r="K76" s="32" t="n">
        <f aca="false">E76*I76*(1-F76)</f>
        <v>1560</v>
      </c>
      <c r="L76" s="32" t="n">
        <f aca="false">E76*J76</f>
        <v>900</v>
      </c>
      <c r="M76" s="32" t="n">
        <f aca="false">K76-L76</f>
        <v>660</v>
      </c>
      <c r="N76" s="33" t="n">
        <f aca="false">DATE(YEAR(B76),MONTH(B76),1)</f>
        <v>45992</v>
      </c>
    </row>
    <row r="77" customFormat="false" ht="15" hidden="false" customHeight="false" outlineLevel="0" collapsed="false">
      <c r="A77" s="29" t="s">
        <v>151</v>
      </c>
      <c r="B77" s="30" t="n">
        <v>46003</v>
      </c>
      <c r="C77" s="29" t="s">
        <v>74</v>
      </c>
      <c r="D77" s="29" t="s">
        <v>65</v>
      </c>
      <c r="E77" s="29" t="n">
        <v>7</v>
      </c>
      <c r="F77" s="31" t="n">
        <v>0</v>
      </c>
      <c r="G77" s="14" t="str">
        <f aca="false">INDEX(Lists!$G$5:$G$12,MATCH(C77,Lists!$F$5:$F$12,0))</f>
        <v>South</v>
      </c>
      <c r="H77" s="14" t="str">
        <f aca="false">INDEX(Lists!$B$5:$B$12,MATCH(D77,Lists!$A$5:$A$12,0))</f>
        <v>Accessories</v>
      </c>
      <c r="I77" s="32" t="n">
        <f aca="false">INDEX(Lists!$C$5:$C$12,MATCH(D77,Lists!$A$5:$A$12,0))</f>
        <v>260</v>
      </c>
      <c r="J77" s="32" t="n">
        <f aca="false">INDEX(Lists!$D$5:$D$12,MATCH(D77,Lists!$A$5:$A$12,0))</f>
        <v>150</v>
      </c>
      <c r="K77" s="32" t="n">
        <f aca="false">E77*I77*(1-F77)</f>
        <v>1820</v>
      </c>
      <c r="L77" s="32" t="n">
        <f aca="false">E77*J77</f>
        <v>1050</v>
      </c>
      <c r="M77" s="32" t="n">
        <f aca="false">K77-L77</f>
        <v>770</v>
      </c>
      <c r="N77" s="33" t="n">
        <f aca="false">DATE(YEAR(B77),MONTH(B77),1)</f>
        <v>45992</v>
      </c>
    </row>
    <row r="78" customFormat="false" ht="15" hidden="false" customHeight="false" outlineLevel="0" collapsed="false">
      <c r="A78" s="29" t="s">
        <v>152</v>
      </c>
      <c r="B78" s="30" t="n">
        <v>46004</v>
      </c>
      <c r="C78" s="29" t="s">
        <v>74</v>
      </c>
      <c r="D78" s="29" t="s">
        <v>67</v>
      </c>
      <c r="E78" s="29" t="n">
        <v>6</v>
      </c>
      <c r="F78" s="31" t="n">
        <v>0</v>
      </c>
      <c r="G78" s="14" t="str">
        <f aca="false">INDEX(Lists!$G$5:$G$12,MATCH(C78,Lists!$F$5:$F$12,0))</f>
        <v>South</v>
      </c>
      <c r="H78" s="14" t="str">
        <f aca="false">INDEX(Lists!$B$5:$B$12,MATCH(D78,Lists!$A$5:$A$12,0))</f>
        <v>Accessories</v>
      </c>
      <c r="I78" s="32" t="n">
        <f aca="false">INDEX(Lists!$C$5:$C$12,MATCH(D78,Lists!$A$5:$A$12,0))</f>
        <v>120</v>
      </c>
      <c r="J78" s="32" t="n">
        <f aca="false">INDEX(Lists!$D$5:$D$12,MATCH(D78,Lists!$A$5:$A$12,0))</f>
        <v>62</v>
      </c>
      <c r="K78" s="32" t="n">
        <f aca="false">E78*I78*(1-F78)</f>
        <v>720</v>
      </c>
      <c r="L78" s="32" t="n">
        <f aca="false">E78*J78</f>
        <v>372</v>
      </c>
      <c r="M78" s="32" t="n">
        <f aca="false">K78-L78</f>
        <v>348</v>
      </c>
      <c r="N78" s="33" t="n">
        <f aca="false">DATE(YEAR(B78),MONTH(B78),1)</f>
        <v>45992</v>
      </c>
    </row>
    <row r="79" customFormat="false" ht="15" hidden="false" customHeight="false" outlineLevel="0" collapsed="false">
      <c r="A79" s="29" t="s">
        <v>153</v>
      </c>
      <c r="B79" s="30" t="n">
        <v>46005</v>
      </c>
      <c r="C79" s="29" t="s">
        <v>93</v>
      </c>
      <c r="D79" s="29" t="s">
        <v>62</v>
      </c>
      <c r="E79" s="29" t="n">
        <v>2</v>
      </c>
      <c r="F79" s="31" t="n">
        <v>0.05</v>
      </c>
      <c r="G79" s="14" t="str">
        <f aca="false">INDEX(Lists!$G$5:$G$12,MATCH(C79,Lists!$F$5:$F$12,0))</f>
        <v>West</v>
      </c>
      <c r="H79" s="14" t="str">
        <f aca="false">INDEX(Lists!$B$5:$B$12,MATCH(D79,Lists!$A$5:$A$12,0))</f>
        <v>Computers</v>
      </c>
      <c r="I79" s="32" t="n">
        <f aca="false">INDEX(Lists!$C$5:$C$12,MATCH(D79,Lists!$A$5:$A$12,0))</f>
        <v>1600</v>
      </c>
      <c r="J79" s="32" t="n">
        <f aca="false">INDEX(Lists!$D$5:$D$12,MATCH(D79,Lists!$A$5:$A$12,0))</f>
        <v>1100</v>
      </c>
      <c r="K79" s="32" t="n">
        <f aca="false">E79*I79*(1-F79)</f>
        <v>3040</v>
      </c>
      <c r="L79" s="32" t="n">
        <f aca="false">E79*J79</f>
        <v>2200</v>
      </c>
      <c r="M79" s="32" t="n">
        <f aca="false">K79-L79</f>
        <v>840</v>
      </c>
      <c r="N79" s="33" t="n">
        <f aca="false">DATE(YEAR(B79),MONTH(B79),1)</f>
        <v>45992</v>
      </c>
    </row>
    <row r="80" customFormat="false" ht="15" hidden="false" customHeight="false" outlineLevel="0" collapsed="false">
      <c r="A80" s="29" t="s">
        <v>154</v>
      </c>
      <c r="B80" s="30" t="n">
        <v>46005</v>
      </c>
      <c r="C80" s="29" t="s">
        <v>74</v>
      </c>
      <c r="D80" s="29" t="s">
        <v>67</v>
      </c>
      <c r="E80" s="29" t="n">
        <v>15</v>
      </c>
      <c r="F80" s="31" t="n">
        <v>0</v>
      </c>
      <c r="G80" s="14" t="str">
        <f aca="false">INDEX(Lists!$G$5:$G$12,MATCH(C80,Lists!$F$5:$F$12,0))</f>
        <v>South</v>
      </c>
      <c r="H80" s="14" t="str">
        <f aca="false">INDEX(Lists!$B$5:$B$12,MATCH(D80,Lists!$A$5:$A$12,0))</f>
        <v>Accessories</v>
      </c>
      <c r="I80" s="32" t="n">
        <f aca="false">INDEX(Lists!$C$5:$C$12,MATCH(D80,Lists!$A$5:$A$12,0))</f>
        <v>120</v>
      </c>
      <c r="J80" s="32" t="n">
        <f aca="false">INDEX(Lists!$D$5:$D$12,MATCH(D80,Lists!$A$5:$A$12,0))</f>
        <v>62</v>
      </c>
      <c r="K80" s="32" t="n">
        <f aca="false">E80*I80*(1-F80)</f>
        <v>1800</v>
      </c>
      <c r="L80" s="32" t="n">
        <f aca="false">E80*J80</f>
        <v>930</v>
      </c>
      <c r="M80" s="32" t="n">
        <f aca="false">K80-L80</f>
        <v>870</v>
      </c>
      <c r="N80" s="33" t="n">
        <f aca="false">DATE(YEAR(B80),MONTH(B80),1)</f>
        <v>45992</v>
      </c>
    </row>
    <row r="81" customFormat="false" ht="15" hidden="false" customHeight="false" outlineLevel="0" collapsed="false">
      <c r="A81" s="29" t="s">
        <v>155</v>
      </c>
      <c r="B81" s="30" t="n">
        <v>46006</v>
      </c>
      <c r="C81" s="29" t="s">
        <v>83</v>
      </c>
      <c r="D81" s="29" t="s">
        <v>72</v>
      </c>
      <c r="E81" s="29" t="n">
        <v>1</v>
      </c>
      <c r="F81" s="31" t="n">
        <v>0</v>
      </c>
      <c r="G81" s="14" t="str">
        <f aca="false">INDEX(Lists!$G$5:$G$12,MATCH(C81,Lists!$F$5:$F$12,0))</f>
        <v>West</v>
      </c>
      <c r="H81" s="14" t="str">
        <f aca="false">INDEX(Lists!$B$5:$B$12,MATCH(D81,Lists!$A$5:$A$12,0))</f>
        <v>Accessories</v>
      </c>
      <c r="I81" s="32" t="n">
        <f aca="false">INDEX(Lists!$C$5:$C$12,MATCH(D81,Lists!$A$5:$A$12,0))</f>
        <v>80</v>
      </c>
      <c r="J81" s="32" t="n">
        <f aca="false">INDEX(Lists!$D$5:$D$12,MATCH(D81,Lists!$A$5:$A$12,0))</f>
        <v>38</v>
      </c>
      <c r="K81" s="32" t="n">
        <f aca="false">E81*I81*(1-F81)</f>
        <v>80</v>
      </c>
      <c r="L81" s="32" t="n">
        <f aca="false">E81*J81</f>
        <v>38</v>
      </c>
      <c r="M81" s="32" t="n">
        <f aca="false">K81-L81</f>
        <v>42</v>
      </c>
      <c r="N81" s="33" t="n">
        <f aca="false">DATE(YEAR(B81),MONTH(B81),1)</f>
        <v>45992</v>
      </c>
    </row>
    <row r="82" customFormat="false" ht="15" hidden="false" customHeight="false" outlineLevel="0" collapsed="false">
      <c r="A82" s="29" t="s">
        <v>156</v>
      </c>
      <c r="B82" s="30" t="n">
        <v>46006</v>
      </c>
      <c r="C82" s="29" t="s">
        <v>83</v>
      </c>
      <c r="D82" s="29" t="s">
        <v>91</v>
      </c>
      <c r="E82" s="29" t="n">
        <v>18</v>
      </c>
      <c r="F82" s="31" t="n">
        <v>0</v>
      </c>
      <c r="G82" s="14" t="str">
        <f aca="false">INDEX(Lists!$G$5:$G$12,MATCH(C82,Lists!$F$5:$F$12,0))</f>
        <v>West</v>
      </c>
      <c r="H82" s="14" t="str">
        <f aca="false">INDEX(Lists!$B$5:$B$12,MATCH(D82,Lists!$A$5:$A$12,0))</f>
        <v>Audio</v>
      </c>
      <c r="I82" s="32" t="n">
        <f aca="false">INDEX(Lists!$C$5:$C$12,MATCH(D82,Lists!$A$5:$A$12,0))</f>
        <v>190</v>
      </c>
      <c r="J82" s="32" t="n">
        <f aca="false">INDEX(Lists!$D$5:$D$12,MATCH(D82,Lists!$A$5:$A$12,0))</f>
        <v>105</v>
      </c>
      <c r="K82" s="32" t="n">
        <f aca="false">E82*I82*(1-F82)</f>
        <v>3420</v>
      </c>
      <c r="L82" s="32" t="n">
        <f aca="false">E82*J82</f>
        <v>1890</v>
      </c>
      <c r="M82" s="32" t="n">
        <f aca="false">K82-L82</f>
        <v>1530</v>
      </c>
      <c r="N82" s="33" t="n">
        <f aca="false">DATE(YEAR(B82),MONTH(B82),1)</f>
        <v>45992</v>
      </c>
    </row>
    <row r="83" customFormat="false" ht="15" hidden="false" customHeight="false" outlineLevel="0" collapsed="false">
      <c r="A83" s="29" t="s">
        <v>157</v>
      </c>
      <c r="B83" s="30" t="n">
        <v>46006</v>
      </c>
      <c r="C83" s="29" t="s">
        <v>83</v>
      </c>
      <c r="D83" s="29" t="s">
        <v>62</v>
      </c>
      <c r="E83" s="29" t="n">
        <v>3</v>
      </c>
      <c r="F83" s="31" t="n">
        <v>0</v>
      </c>
      <c r="G83" s="14" t="str">
        <f aca="false">INDEX(Lists!$G$5:$G$12,MATCH(C83,Lists!$F$5:$F$12,0))</f>
        <v>West</v>
      </c>
      <c r="H83" s="14" t="str">
        <f aca="false">INDEX(Lists!$B$5:$B$12,MATCH(D83,Lists!$A$5:$A$12,0))</f>
        <v>Computers</v>
      </c>
      <c r="I83" s="32" t="n">
        <f aca="false">INDEX(Lists!$C$5:$C$12,MATCH(D83,Lists!$A$5:$A$12,0))</f>
        <v>1600</v>
      </c>
      <c r="J83" s="32" t="n">
        <f aca="false">INDEX(Lists!$D$5:$D$12,MATCH(D83,Lists!$A$5:$A$12,0))</f>
        <v>1100</v>
      </c>
      <c r="K83" s="32" t="n">
        <f aca="false">E83*I83*(1-F83)</f>
        <v>4800</v>
      </c>
      <c r="L83" s="32" t="n">
        <f aca="false">E83*J83</f>
        <v>3300</v>
      </c>
      <c r="M83" s="32" t="n">
        <f aca="false">K83-L83</f>
        <v>1500</v>
      </c>
      <c r="N83" s="33" t="n">
        <f aca="false">DATE(YEAR(B83),MONTH(B83),1)</f>
        <v>45992</v>
      </c>
    </row>
    <row r="84" customFormat="false" ht="15" hidden="false" customHeight="false" outlineLevel="0" collapsed="false">
      <c r="A84" s="29" t="s">
        <v>158</v>
      </c>
      <c r="B84" s="30" t="n">
        <v>46007</v>
      </c>
      <c r="C84" s="29" t="s">
        <v>93</v>
      </c>
      <c r="D84" s="29" t="s">
        <v>72</v>
      </c>
      <c r="E84" s="29" t="n">
        <v>9</v>
      </c>
      <c r="F84" s="31" t="n">
        <v>0.1</v>
      </c>
      <c r="G84" s="14" t="str">
        <f aca="false">INDEX(Lists!$G$5:$G$12,MATCH(C84,Lists!$F$5:$F$12,0))</f>
        <v>West</v>
      </c>
      <c r="H84" s="14" t="str">
        <f aca="false">INDEX(Lists!$B$5:$B$12,MATCH(D84,Lists!$A$5:$A$12,0))</f>
        <v>Accessories</v>
      </c>
      <c r="I84" s="32" t="n">
        <f aca="false">INDEX(Lists!$C$5:$C$12,MATCH(D84,Lists!$A$5:$A$12,0))</f>
        <v>80</v>
      </c>
      <c r="J84" s="32" t="n">
        <f aca="false">INDEX(Lists!$D$5:$D$12,MATCH(D84,Lists!$A$5:$A$12,0))</f>
        <v>38</v>
      </c>
      <c r="K84" s="32" t="n">
        <f aca="false">E84*I84*(1-F84)</f>
        <v>648</v>
      </c>
      <c r="L84" s="32" t="n">
        <f aca="false">E84*J84</f>
        <v>342</v>
      </c>
      <c r="M84" s="32" t="n">
        <f aca="false">K84-L84</f>
        <v>306</v>
      </c>
      <c r="N84" s="33" t="n">
        <f aca="false">DATE(YEAR(B84),MONTH(B84),1)</f>
        <v>45992</v>
      </c>
    </row>
    <row r="85" customFormat="false" ht="15" hidden="false" customHeight="false" outlineLevel="0" collapsed="false">
      <c r="A85" s="29" t="s">
        <v>159</v>
      </c>
      <c r="B85" s="30" t="n">
        <v>46007</v>
      </c>
      <c r="C85" s="29" t="s">
        <v>69</v>
      </c>
      <c r="D85" s="29" t="s">
        <v>67</v>
      </c>
      <c r="E85" s="29" t="n">
        <v>13</v>
      </c>
      <c r="F85" s="31" t="n">
        <v>0</v>
      </c>
      <c r="G85" s="14" t="str">
        <f aca="false">INDEX(Lists!$G$5:$G$12,MATCH(C85,Lists!$F$5:$F$12,0))</f>
        <v>East</v>
      </c>
      <c r="H85" s="14" t="str">
        <f aca="false">INDEX(Lists!$B$5:$B$12,MATCH(D85,Lists!$A$5:$A$12,0))</f>
        <v>Accessories</v>
      </c>
      <c r="I85" s="32" t="n">
        <f aca="false">INDEX(Lists!$C$5:$C$12,MATCH(D85,Lists!$A$5:$A$12,0))</f>
        <v>120</v>
      </c>
      <c r="J85" s="32" t="n">
        <f aca="false">INDEX(Lists!$D$5:$D$12,MATCH(D85,Lists!$A$5:$A$12,0))</f>
        <v>62</v>
      </c>
      <c r="K85" s="32" t="n">
        <f aca="false">E85*I85*(1-F85)</f>
        <v>1560</v>
      </c>
      <c r="L85" s="32" t="n">
        <f aca="false">E85*J85</f>
        <v>806</v>
      </c>
      <c r="M85" s="32" t="n">
        <f aca="false">K85-L85</f>
        <v>754</v>
      </c>
      <c r="N85" s="33" t="n">
        <f aca="false">DATE(YEAR(B85),MONTH(B85),1)</f>
        <v>45992</v>
      </c>
    </row>
    <row r="86" customFormat="false" ht="15" hidden="false" customHeight="false" outlineLevel="0" collapsed="false">
      <c r="A86" s="29" t="s">
        <v>160</v>
      </c>
      <c r="B86" s="30" t="n">
        <v>46007</v>
      </c>
      <c r="C86" s="29" t="s">
        <v>88</v>
      </c>
      <c r="D86" s="29" t="s">
        <v>91</v>
      </c>
      <c r="E86" s="29" t="n">
        <v>13</v>
      </c>
      <c r="F86" s="31" t="n">
        <v>0</v>
      </c>
      <c r="G86" s="14" t="str">
        <f aca="false">INDEX(Lists!$G$5:$G$12,MATCH(C86,Lists!$F$5:$F$12,0))</f>
        <v>North</v>
      </c>
      <c r="H86" s="14" t="str">
        <f aca="false">INDEX(Lists!$B$5:$B$12,MATCH(D86,Lists!$A$5:$A$12,0))</f>
        <v>Audio</v>
      </c>
      <c r="I86" s="32" t="n">
        <f aca="false">INDEX(Lists!$C$5:$C$12,MATCH(D86,Lists!$A$5:$A$12,0))</f>
        <v>190</v>
      </c>
      <c r="J86" s="32" t="n">
        <f aca="false">INDEX(Lists!$D$5:$D$12,MATCH(D86,Lists!$A$5:$A$12,0))</f>
        <v>105</v>
      </c>
      <c r="K86" s="32" t="n">
        <f aca="false">E86*I86*(1-F86)</f>
        <v>2470</v>
      </c>
      <c r="L86" s="32" t="n">
        <f aca="false">E86*J86</f>
        <v>1365</v>
      </c>
      <c r="M86" s="32" t="n">
        <f aca="false">K86-L86</f>
        <v>1105</v>
      </c>
      <c r="N86" s="33" t="n">
        <f aca="false">DATE(YEAR(B86),MONTH(B86),1)</f>
        <v>45992</v>
      </c>
    </row>
    <row r="87" customFormat="false" ht="15" hidden="false" customHeight="false" outlineLevel="0" collapsed="false">
      <c r="A87" s="29" t="s">
        <v>161</v>
      </c>
      <c r="B87" s="30" t="n">
        <v>46007</v>
      </c>
      <c r="C87" s="29" t="s">
        <v>69</v>
      </c>
      <c r="D87" s="29" t="s">
        <v>67</v>
      </c>
      <c r="E87" s="29" t="n">
        <v>10</v>
      </c>
      <c r="F87" s="31" t="n">
        <v>0.1</v>
      </c>
      <c r="G87" s="14" t="str">
        <f aca="false">INDEX(Lists!$G$5:$G$12,MATCH(C87,Lists!$F$5:$F$12,0))</f>
        <v>East</v>
      </c>
      <c r="H87" s="14" t="str">
        <f aca="false">INDEX(Lists!$B$5:$B$12,MATCH(D87,Lists!$A$5:$A$12,0))</f>
        <v>Accessories</v>
      </c>
      <c r="I87" s="32" t="n">
        <f aca="false">INDEX(Lists!$C$5:$C$12,MATCH(D87,Lists!$A$5:$A$12,0))</f>
        <v>120</v>
      </c>
      <c r="J87" s="32" t="n">
        <f aca="false">INDEX(Lists!$D$5:$D$12,MATCH(D87,Lists!$A$5:$A$12,0))</f>
        <v>62</v>
      </c>
      <c r="K87" s="32" t="n">
        <f aca="false">E87*I87*(1-F87)</f>
        <v>1080</v>
      </c>
      <c r="L87" s="32" t="n">
        <f aca="false">E87*J87</f>
        <v>620</v>
      </c>
      <c r="M87" s="32" t="n">
        <f aca="false">K87-L87</f>
        <v>460</v>
      </c>
      <c r="N87" s="33" t="n">
        <f aca="false">DATE(YEAR(B87),MONTH(B87),1)</f>
        <v>45992</v>
      </c>
    </row>
    <row r="88" customFormat="false" ht="15" hidden="false" customHeight="false" outlineLevel="0" collapsed="false">
      <c r="A88" s="29" t="s">
        <v>162</v>
      </c>
      <c r="B88" s="30" t="n">
        <v>46008</v>
      </c>
      <c r="C88" s="29" t="s">
        <v>93</v>
      </c>
      <c r="D88" s="29" t="s">
        <v>80</v>
      </c>
      <c r="E88" s="29" t="n">
        <v>1</v>
      </c>
      <c r="F88" s="31" t="n">
        <v>0</v>
      </c>
      <c r="G88" s="14" t="str">
        <f aca="false">INDEX(Lists!$G$5:$G$12,MATCH(C88,Lists!$F$5:$F$12,0))</f>
        <v>West</v>
      </c>
      <c r="H88" s="14" t="str">
        <f aca="false">INDEX(Lists!$B$5:$B$12,MATCH(D88,Lists!$A$5:$A$12,0))</f>
        <v>Computers</v>
      </c>
      <c r="I88" s="32" t="n">
        <f aca="false">INDEX(Lists!$C$5:$C$12,MATCH(D88,Lists!$A$5:$A$12,0))</f>
        <v>2400</v>
      </c>
      <c r="J88" s="32" t="n">
        <f aca="false">INDEX(Lists!$D$5:$D$12,MATCH(D88,Lists!$A$5:$A$12,0))</f>
        <v>1650</v>
      </c>
      <c r="K88" s="32" t="n">
        <f aca="false">E88*I88*(1-F88)</f>
        <v>2400</v>
      </c>
      <c r="L88" s="32" t="n">
        <f aca="false">E88*J88</f>
        <v>1650</v>
      </c>
      <c r="M88" s="32" t="n">
        <f aca="false">K88-L88</f>
        <v>750</v>
      </c>
      <c r="N88" s="33" t="n">
        <f aca="false">DATE(YEAR(B88),MONTH(B88),1)</f>
        <v>45992</v>
      </c>
    </row>
    <row r="89" customFormat="false" ht="15" hidden="false" customHeight="false" outlineLevel="0" collapsed="false">
      <c r="A89" s="29" t="s">
        <v>163</v>
      </c>
      <c r="B89" s="30" t="n">
        <v>46008</v>
      </c>
      <c r="C89" s="29" t="s">
        <v>86</v>
      </c>
      <c r="D89" s="29" t="s">
        <v>67</v>
      </c>
      <c r="E89" s="29" t="n">
        <v>16</v>
      </c>
      <c r="F89" s="31" t="n">
        <v>0.05</v>
      </c>
      <c r="G89" s="14" t="str">
        <f aca="false">INDEX(Lists!$G$5:$G$12,MATCH(C89,Lists!$F$5:$F$12,0))</f>
        <v>North</v>
      </c>
      <c r="H89" s="14" t="str">
        <f aca="false">INDEX(Lists!$B$5:$B$12,MATCH(D89,Lists!$A$5:$A$12,0))</f>
        <v>Accessories</v>
      </c>
      <c r="I89" s="32" t="n">
        <f aca="false">INDEX(Lists!$C$5:$C$12,MATCH(D89,Lists!$A$5:$A$12,0))</f>
        <v>120</v>
      </c>
      <c r="J89" s="32" t="n">
        <f aca="false">INDEX(Lists!$D$5:$D$12,MATCH(D89,Lists!$A$5:$A$12,0))</f>
        <v>62</v>
      </c>
      <c r="K89" s="32" t="n">
        <f aca="false">E89*I89*(1-F89)</f>
        <v>1824</v>
      </c>
      <c r="L89" s="32" t="n">
        <f aca="false">E89*J89</f>
        <v>992</v>
      </c>
      <c r="M89" s="32" t="n">
        <f aca="false">K89-L89</f>
        <v>832</v>
      </c>
      <c r="N89" s="33" t="n">
        <f aca="false">DATE(YEAR(B89),MONTH(B89),1)</f>
        <v>45992</v>
      </c>
    </row>
    <row r="90" customFormat="false" ht="15" hidden="false" customHeight="false" outlineLevel="0" collapsed="false">
      <c r="A90" s="29" t="s">
        <v>164</v>
      </c>
      <c r="B90" s="30" t="n">
        <v>46009</v>
      </c>
      <c r="C90" s="29" t="s">
        <v>69</v>
      </c>
      <c r="D90" s="29" t="s">
        <v>91</v>
      </c>
      <c r="E90" s="29" t="n">
        <v>8</v>
      </c>
      <c r="F90" s="31" t="n">
        <v>0.15</v>
      </c>
      <c r="G90" s="14" t="str">
        <f aca="false">INDEX(Lists!$G$5:$G$12,MATCH(C90,Lists!$F$5:$F$12,0))</f>
        <v>East</v>
      </c>
      <c r="H90" s="14" t="str">
        <f aca="false">INDEX(Lists!$B$5:$B$12,MATCH(D90,Lists!$A$5:$A$12,0))</f>
        <v>Audio</v>
      </c>
      <c r="I90" s="32" t="n">
        <f aca="false">INDEX(Lists!$C$5:$C$12,MATCH(D90,Lists!$A$5:$A$12,0))</f>
        <v>190</v>
      </c>
      <c r="J90" s="32" t="n">
        <f aca="false">INDEX(Lists!$D$5:$D$12,MATCH(D90,Lists!$A$5:$A$12,0))</f>
        <v>105</v>
      </c>
      <c r="K90" s="32" t="n">
        <f aca="false">E90*I90*(1-F90)</f>
        <v>1292</v>
      </c>
      <c r="L90" s="32" t="n">
        <f aca="false">E90*J90</f>
        <v>840</v>
      </c>
      <c r="M90" s="32" t="n">
        <f aca="false">K90-L90</f>
        <v>452</v>
      </c>
      <c r="N90" s="33" t="n">
        <f aca="false">DATE(YEAR(B90),MONTH(B90),1)</f>
        <v>45992</v>
      </c>
    </row>
    <row r="91" customFormat="false" ht="15" hidden="false" customHeight="false" outlineLevel="0" collapsed="false">
      <c r="A91" s="29" t="s">
        <v>165</v>
      </c>
      <c r="B91" s="30" t="n">
        <v>46009</v>
      </c>
      <c r="C91" s="29" t="s">
        <v>64</v>
      </c>
      <c r="D91" s="29" t="s">
        <v>72</v>
      </c>
      <c r="E91" s="29" t="n">
        <v>7</v>
      </c>
      <c r="F91" s="31" t="n">
        <v>0</v>
      </c>
      <c r="G91" s="14" t="str">
        <f aca="false">INDEX(Lists!$G$5:$G$12,MATCH(C91,Lists!$F$5:$F$12,0))</f>
        <v>East</v>
      </c>
      <c r="H91" s="14" t="str">
        <f aca="false">INDEX(Lists!$B$5:$B$12,MATCH(D91,Lists!$A$5:$A$12,0))</f>
        <v>Accessories</v>
      </c>
      <c r="I91" s="32" t="n">
        <f aca="false">INDEX(Lists!$C$5:$C$12,MATCH(D91,Lists!$A$5:$A$12,0))</f>
        <v>80</v>
      </c>
      <c r="J91" s="32" t="n">
        <f aca="false">INDEX(Lists!$D$5:$D$12,MATCH(D91,Lists!$A$5:$A$12,0))</f>
        <v>38</v>
      </c>
      <c r="K91" s="32" t="n">
        <f aca="false">E91*I91*(1-F91)</f>
        <v>560</v>
      </c>
      <c r="L91" s="32" t="n">
        <f aca="false">E91*J91</f>
        <v>266</v>
      </c>
      <c r="M91" s="32" t="n">
        <f aca="false">K91-L91</f>
        <v>294</v>
      </c>
      <c r="N91" s="33" t="n">
        <f aca="false">DATE(YEAR(B91),MONTH(B91),1)</f>
        <v>45992</v>
      </c>
    </row>
    <row r="92" customFormat="false" ht="15" hidden="false" customHeight="false" outlineLevel="0" collapsed="false">
      <c r="A92" s="29" t="s">
        <v>166</v>
      </c>
      <c r="B92" s="30" t="n">
        <v>46009</v>
      </c>
      <c r="C92" s="29" t="s">
        <v>74</v>
      </c>
      <c r="D92" s="29" t="s">
        <v>72</v>
      </c>
      <c r="E92" s="29" t="n">
        <v>4</v>
      </c>
      <c r="F92" s="31" t="n">
        <v>0.1</v>
      </c>
      <c r="G92" s="14" t="str">
        <f aca="false">INDEX(Lists!$G$5:$G$12,MATCH(C92,Lists!$F$5:$F$12,0))</f>
        <v>South</v>
      </c>
      <c r="H92" s="14" t="str">
        <f aca="false">INDEX(Lists!$B$5:$B$12,MATCH(D92,Lists!$A$5:$A$12,0))</f>
        <v>Accessories</v>
      </c>
      <c r="I92" s="32" t="n">
        <f aca="false">INDEX(Lists!$C$5:$C$12,MATCH(D92,Lists!$A$5:$A$12,0))</f>
        <v>80</v>
      </c>
      <c r="J92" s="32" t="n">
        <f aca="false">INDEX(Lists!$D$5:$D$12,MATCH(D92,Lists!$A$5:$A$12,0))</f>
        <v>38</v>
      </c>
      <c r="K92" s="32" t="n">
        <f aca="false">E92*I92*(1-F92)</f>
        <v>288</v>
      </c>
      <c r="L92" s="32" t="n">
        <f aca="false">E92*J92</f>
        <v>152</v>
      </c>
      <c r="M92" s="32" t="n">
        <f aca="false">K92-L92</f>
        <v>136</v>
      </c>
      <c r="N92" s="33" t="n">
        <f aca="false">DATE(YEAR(B92),MONTH(B92),1)</f>
        <v>45992</v>
      </c>
    </row>
    <row r="93" customFormat="false" ht="15" hidden="false" customHeight="false" outlineLevel="0" collapsed="false">
      <c r="A93" s="29" t="s">
        <v>167</v>
      </c>
      <c r="B93" s="30" t="n">
        <v>46010</v>
      </c>
      <c r="C93" s="29" t="s">
        <v>86</v>
      </c>
      <c r="D93" s="29" t="s">
        <v>75</v>
      </c>
      <c r="E93" s="29" t="n">
        <v>15</v>
      </c>
      <c r="F93" s="31" t="n">
        <v>0</v>
      </c>
      <c r="G93" s="14" t="str">
        <f aca="false">INDEX(Lists!$G$5:$G$12,MATCH(C93,Lists!$F$5:$F$12,0))</f>
        <v>North</v>
      </c>
      <c r="H93" s="14" t="str">
        <f aca="false">INDEX(Lists!$B$5:$B$12,MATCH(D93,Lists!$A$5:$A$12,0))</f>
        <v>Audio</v>
      </c>
      <c r="I93" s="32" t="n">
        <f aca="false">INDEX(Lists!$C$5:$C$12,MATCH(D93,Lists!$A$5:$A$12,0))</f>
        <v>140</v>
      </c>
      <c r="J93" s="32" t="n">
        <f aca="false">INDEX(Lists!$D$5:$D$12,MATCH(D93,Lists!$A$5:$A$12,0))</f>
        <v>70</v>
      </c>
      <c r="K93" s="32" t="n">
        <f aca="false">E93*I93*(1-F93)</f>
        <v>2100</v>
      </c>
      <c r="L93" s="32" t="n">
        <f aca="false">E93*J93</f>
        <v>1050</v>
      </c>
      <c r="M93" s="32" t="n">
        <f aca="false">K93-L93</f>
        <v>1050</v>
      </c>
      <c r="N93" s="33" t="n">
        <f aca="false">DATE(YEAR(B93),MONTH(B93),1)</f>
        <v>45992</v>
      </c>
    </row>
    <row r="94" customFormat="false" ht="15" hidden="false" customHeight="false" outlineLevel="0" collapsed="false">
      <c r="A94" s="29" t="s">
        <v>168</v>
      </c>
      <c r="B94" s="30" t="n">
        <v>46011</v>
      </c>
      <c r="C94" s="29" t="s">
        <v>64</v>
      </c>
      <c r="D94" s="29" t="s">
        <v>80</v>
      </c>
      <c r="E94" s="29" t="n">
        <v>2</v>
      </c>
      <c r="F94" s="31" t="n">
        <v>0.1</v>
      </c>
      <c r="G94" s="14" t="str">
        <f aca="false">INDEX(Lists!$G$5:$G$12,MATCH(C94,Lists!$F$5:$F$12,0))</f>
        <v>East</v>
      </c>
      <c r="H94" s="14" t="str">
        <f aca="false">INDEX(Lists!$B$5:$B$12,MATCH(D94,Lists!$A$5:$A$12,0))</f>
        <v>Computers</v>
      </c>
      <c r="I94" s="32" t="n">
        <f aca="false">INDEX(Lists!$C$5:$C$12,MATCH(D94,Lists!$A$5:$A$12,0))</f>
        <v>2400</v>
      </c>
      <c r="J94" s="32" t="n">
        <f aca="false">INDEX(Lists!$D$5:$D$12,MATCH(D94,Lists!$A$5:$A$12,0))</f>
        <v>1650</v>
      </c>
      <c r="K94" s="32" t="n">
        <f aca="false">E94*I94*(1-F94)</f>
        <v>4320</v>
      </c>
      <c r="L94" s="32" t="n">
        <f aca="false">E94*J94</f>
        <v>3300</v>
      </c>
      <c r="M94" s="32" t="n">
        <f aca="false">K94-L94</f>
        <v>1020</v>
      </c>
      <c r="N94" s="33" t="n">
        <f aca="false">DATE(YEAR(B94),MONTH(B94),1)</f>
        <v>45992</v>
      </c>
    </row>
    <row r="95" customFormat="false" ht="15" hidden="false" customHeight="false" outlineLevel="0" collapsed="false">
      <c r="A95" s="29" t="s">
        <v>169</v>
      </c>
      <c r="B95" s="30" t="n">
        <v>46011</v>
      </c>
      <c r="C95" s="29" t="s">
        <v>69</v>
      </c>
      <c r="D95" s="29" t="s">
        <v>62</v>
      </c>
      <c r="E95" s="29" t="n">
        <v>4</v>
      </c>
      <c r="F95" s="31" t="n">
        <v>0</v>
      </c>
      <c r="G95" s="14" t="str">
        <f aca="false">INDEX(Lists!$G$5:$G$12,MATCH(C95,Lists!$F$5:$F$12,0))</f>
        <v>East</v>
      </c>
      <c r="H95" s="14" t="str">
        <f aca="false">INDEX(Lists!$B$5:$B$12,MATCH(D95,Lists!$A$5:$A$12,0))</f>
        <v>Computers</v>
      </c>
      <c r="I95" s="32" t="n">
        <f aca="false">INDEX(Lists!$C$5:$C$12,MATCH(D95,Lists!$A$5:$A$12,0))</f>
        <v>1600</v>
      </c>
      <c r="J95" s="32" t="n">
        <f aca="false">INDEX(Lists!$D$5:$D$12,MATCH(D95,Lists!$A$5:$A$12,0))</f>
        <v>1100</v>
      </c>
      <c r="K95" s="32" t="n">
        <f aca="false">E95*I95*(1-F95)</f>
        <v>6400</v>
      </c>
      <c r="L95" s="32" t="n">
        <f aca="false">E95*J95</f>
        <v>4400</v>
      </c>
      <c r="M95" s="32" t="n">
        <f aca="false">K95-L95</f>
        <v>2000</v>
      </c>
      <c r="N95" s="33" t="n">
        <f aca="false">DATE(YEAR(B95),MONTH(B95),1)</f>
        <v>45992</v>
      </c>
    </row>
    <row r="96" customFormat="false" ht="15" hidden="false" customHeight="false" outlineLevel="0" collapsed="false">
      <c r="A96" s="29" t="s">
        <v>170</v>
      </c>
      <c r="B96" s="30" t="n">
        <v>46012</v>
      </c>
      <c r="C96" s="29" t="s">
        <v>74</v>
      </c>
      <c r="D96" s="29" t="s">
        <v>70</v>
      </c>
      <c r="E96" s="29" t="n">
        <v>6</v>
      </c>
      <c r="F96" s="31" t="n">
        <v>0.15</v>
      </c>
      <c r="G96" s="14" t="str">
        <f aca="false">INDEX(Lists!$G$5:$G$12,MATCH(C96,Lists!$F$5:$F$12,0))</f>
        <v>South</v>
      </c>
      <c r="H96" s="14" t="str">
        <f aca="false">INDEX(Lists!$B$5:$B$12,MATCH(D96,Lists!$A$5:$A$12,0))</f>
        <v>Displays</v>
      </c>
      <c r="I96" s="32" t="n">
        <f aca="false">INDEX(Lists!$C$5:$C$12,MATCH(D96,Lists!$A$5:$A$12,0))</f>
        <v>520</v>
      </c>
      <c r="J96" s="32" t="n">
        <f aca="false">INDEX(Lists!$D$5:$D$12,MATCH(D96,Lists!$A$5:$A$12,0))</f>
        <v>340</v>
      </c>
      <c r="K96" s="32" t="n">
        <f aca="false">E96*I96*(1-F96)</f>
        <v>2652</v>
      </c>
      <c r="L96" s="32" t="n">
        <f aca="false">E96*J96</f>
        <v>2040</v>
      </c>
      <c r="M96" s="32" t="n">
        <f aca="false">K96-L96</f>
        <v>612</v>
      </c>
      <c r="N96" s="33" t="n">
        <f aca="false">DATE(YEAR(B96),MONTH(B96),1)</f>
        <v>45992</v>
      </c>
    </row>
    <row r="97" customFormat="false" ht="15" hidden="false" customHeight="false" outlineLevel="0" collapsed="false">
      <c r="A97" s="29" t="s">
        <v>171</v>
      </c>
      <c r="B97" s="30" t="n">
        <v>46013</v>
      </c>
      <c r="C97" s="29" t="s">
        <v>69</v>
      </c>
      <c r="D97" s="29" t="s">
        <v>67</v>
      </c>
      <c r="E97" s="29" t="n">
        <v>6</v>
      </c>
      <c r="F97" s="31" t="n">
        <v>0.15</v>
      </c>
      <c r="G97" s="14" t="str">
        <f aca="false">INDEX(Lists!$G$5:$G$12,MATCH(C97,Lists!$F$5:$F$12,0))</f>
        <v>East</v>
      </c>
      <c r="H97" s="14" t="str">
        <f aca="false">INDEX(Lists!$B$5:$B$12,MATCH(D97,Lists!$A$5:$A$12,0))</f>
        <v>Accessories</v>
      </c>
      <c r="I97" s="32" t="n">
        <f aca="false">INDEX(Lists!$C$5:$C$12,MATCH(D97,Lists!$A$5:$A$12,0))</f>
        <v>120</v>
      </c>
      <c r="J97" s="32" t="n">
        <f aca="false">INDEX(Lists!$D$5:$D$12,MATCH(D97,Lists!$A$5:$A$12,0))</f>
        <v>62</v>
      </c>
      <c r="K97" s="32" t="n">
        <f aca="false">E97*I97*(1-F97)</f>
        <v>612</v>
      </c>
      <c r="L97" s="32" t="n">
        <f aca="false">E97*J97</f>
        <v>372</v>
      </c>
      <c r="M97" s="32" t="n">
        <f aca="false">K97-L97</f>
        <v>240</v>
      </c>
      <c r="N97" s="33" t="n">
        <f aca="false">DATE(YEAR(B97),MONTH(B97),1)</f>
        <v>45992</v>
      </c>
    </row>
    <row r="98" customFormat="false" ht="15" hidden="false" customHeight="false" outlineLevel="0" collapsed="false">
      <c r="A98" s="29" t="s">
        <v>172</v>
      </c>
      <c r="B98" s="30" t="n">
        <v>46013</v>
      </c>
      <c r="C98" s="29" t="s">
        <v>83</v>
      </c>
      <c r="D98" s="29" t="s">
        <v>70</v>
      </c>
      <c r="E98" s="29" t="n">
        <v>5</v>
      </c>
      <c r="F98" s="31" t="n">
        <v>0.15</v>
      </c>
      <c r="G98" s="14" t="str">
        <f aca="false">INDEX(Lists!$G$5:$G$12,MATCH(C98,Lists!$F$5:$F$12,0))</f>
        <v>West</v>
      </c>
      <c r="H98" s="14" t="str">
        <f aca="false">INDEX(Lists!$B$5:$B$12,MATCH(D98,Lists!$A$5:$A$12,0))</f>
        <v>Displays</v>
      </c>
      <c r="I98" s="32" t="n">
        <f aca="false">INDEX(Lists!$C$5:$C$12,MATCH(D98,Lists!$A$5:$A$12,0))</f>
        <v>520</v>
      </c>
      <c r="J98" s="32" t="n">
        <f aca="false">INDEX(Lists!$D$5:$D$12,MATCH(D98,Lists!$A$5:$A$12,0))</f>
        <v>340</v>
      </c>
      <c r="K98" s="32" t="n">
        <f aca="false">E98*I98*(1-F98)</f>
        <v>2210</v>
      </c>
      <c r="L98" s="32" t="n">
        <f aca="false">E98*J98</f>
        <v>1700</v>
      </c>
      <c r="M98" s="32" t="n">
        <f aca="false">K98-L98</f>
        <v>510</v>
      </c>
      <c r="N98" s="33" t="n">
        <f aca="false">DATE(YEAR(B98),MONTH(B98),1)</f>
        <v>45992</v>
      </c>
    </row>
    <row r="99" customFormat="false" ht="15" hidden="false" customHeight="false" outlineLevel="0" collapsed="false">
      <c r="A99" s="29" t="s">
        <v>173</v>
      </c>
      <c r="B99" s="30" t="n">
        <v>46013</v>
      </c>
      <c r="C99" s="29" t="s">
        <v>64</v>
      </c>
      <c r="D99" s="29" t="s">
        <v>72</v>
      </c>
      <c r="E99" s="29" t="n">
        <v>4</v>
      </c>
      <c r="F99" s="31" t="n">
        <v>0.15</v>
      </c>
      <c r="G99" s="14" t="str">
        <f aca="false">INDEX(Lists!$G$5:$G$12,MATCH(C99,Lists!$F$5:$F$12,0))</f>
        <v>East</v>
      </c>
      <c r="H99" s="14" t="str">
        <f aca="false">INDEX(Lists!$B$5:$B$12,MATCH(D99,Lists!$A$5:$A$12,0))</f>
        <v>Accessories</v>
      </c>
      <c r="I99" s="32" t="n">
        <f aca="false">INDEX(Lists!$C$5:$C$12,MATCH(D99,Lists!$A$5:$A$12,0))</f>
        <v>80</v>
      </c>
      <c r="J99" s="32" t="n">
        <f aca="false">INDEX(Lists!$D$5:$D$12,MATCH(D99,Lists!$A$5:$A$12,0))</f>
        <v>38</v>
      </c>
      <c r="K99" s="32" t="n">
        <f aca="false">E99*I99*(1-F99)</f>
        <v>272</v>
      </c>
      <c r="L99" s="32" t="n">
        <f aca="false">E99*J99</f>
        <v>152</v>
      </c>
      <c r="M99" s="32" t="n">
        <f aca="false">K99-L99</f>
        <v>120</v>
      </c>
      <c r="N99" s="33" t="n">
        <f aca="false">DATE(YEAR(B99),MONTH(B99),1)</f>
        <v>45992</v>
      </c>
    </row>
    <row r="100" customFormat="false" ht="15" hidden="false" customHeight="false" outlineLevel="0" collapsed="false">
      <c r="A100" s="29" t="s">
        <v>174</v>
      </c>
      <c r="B100" s="30" t="n">
        <v>46014</v>
      </c>
      <c r="C100" s="29" t="s">
        <v>88</v>
      </c>
      <c r="D100" s="29" t="s">
        <v>67</v>
      </c>
      <c r="E100" s="29" t="n">
        <v>8</v>
      </c>
      <c r="F100" s="31" t="n">
        <v>0</v>
      </c>
      <c r="G100" s="14" t="str">
        <f aca="false">INDEX(Lists!$G$5:$G$12,MATCH(C100,Lists!$F$5:$F$12,0))</f>
        <v>North</v>
      </c>
      <c r="H100" s="14" t="str">
        <f aca="false">INDEX(Lists!$B$5:$B$12,MATCH(D100,Lists!$A$5:$A$12,0))</f>
        <v>Accessories</v>
      </c>
      <c r="I100" s="32" t="n">
        <f aca="false">INDEX(Lists!$C$5:$C$12,MATCH(D100,Lists!$A$5:$A$12,0))</f>
        <v>120</v>
      </c>
      <c r="J100" s="32" t="n">
        <f aca="false">INDEX(Lists!$D$5:$D$12,MATCH(D100,Lists!$A$5:$A$12,0))</f>
        <v>62</v>
      </c>
      <c r="K100" s="32" t="n">
        <f aca="false">E100*I100*(1-F100)</f>
        <v>960</v>
      </c>
      <c r="L100" s="32" t="n">
        <f aca="false">E100*J100</f>
        <v>496</v>
      </c>
      <c r="M100" s="32" t="n">
        <f aca="false">K100-L100</f>
        <v>464</v>
      </c>
      <c r="N100" s="33" t="n">
        <f aca="false">DATE(YEAR(B100),MONTH(B100),1)</f>
        <v>45992</v>
      </c>
    </row>
    <row r="101" customFormat="false" ht="15" hidden="false" customHeight="false" outlineLevel="0" collapsed="false">
      <c r="A101" s="29" t="s">
        <v>175</v>
      </c>
      <c r="B101" s="30" t="n">
        <v>46014</v>
      </c>
      <c r="C101" s="29" t="s">
        <v>93</v>
      </c>
      <c r="D101" s="29" t="s">
        <v>91</v>
      </c>
      <c r="E101" s="29" t="n">
        <v>18</v>
      </c>
      <c r="F101" s="31" t="n">
        <v>0.15</v>
      </c>
      <c r="G101" s="14" t="str">
        <f aca="false">INDEX(Lists!$G$5:$G$12,MATCH(C101,Lists!$F$5:$F$12,0))</f>
        <v>West</v>
      </c>
      <c r="H101" s="14" t="str">
        <f aca="false">INDEX(Lists!$B$5:$B$12,MATCH(D101,Lists!$A$5:$A$12,0))</f>
        <v>Audio</v>
      </c>
      <c r="I101" s="32" t="n">
        <f aca="false">INDEX(Lists!$C$5:$C$12,MATCH(D101,Lists!$A$5:$A$12,0))</f>
        <v>190</v>
      </c>
      <c r="J101" s="32" t="n">
        <f aca="false">INDEX(Lists!$D$5:$D$12,MATCH(D101,Lists!$A$5:$A$12,0))</f>
        <v>105</v>
      </c>
      <c r="K101" s="32" t="n">
        <f aca="false">E101*I101*(1-F101)</f>
        <v>2907</v>
      </c>
      <c r="L101" s="32" t="n">
        <f aca="false">E101*J101</f>
        <v>1890</v>
      </c>
      <c r="M101" s="32" t="n">
        <f aca="false">K101-L101</f>
        <v>1017</v>
      </c>
      <c r="N101" s="33" t="n">
        <f aca="false">DATE(YEAR(B101),MONTH(B101),1)</f>
        <v>45992</v>
      </c>
    </row>
    <row r="102" customFormat="false" ht="15" hidden="false" customHeight="false" outlineLevel="0" collapsed="false">
      <c r="A102" s="29" t="s">
        <v>176</v>
      </c>
      <c r="B102" s="30" t="n">
        <v>46015</v>
      </c>
      <c r="C102" s="29" t="s">
        <v>93</v>
      </c>
      <c r="D102" s="29" t="s">
        <v>65</v>
      </c>
      <c r="E102" s="29" t="n">
        <v>5</v>
      </c>
      <c r="F102" s="31" t="n">
        <v>0</v>
      </c>
      <c r="G102" s="14" t="str">
        <f aca="false">INDEX(Lists!$G$5:$G$12,MATCH(C102,Lists!$F$5:$F$12,0))</f>
        <v>West</v>
      </c>
      <c r="H102" s="14" t="str">
        <f aca="false">INDEX(Lists!$B$5:$B$12,MATCH(D102,Lists!$A$5:$A$12,0))</f>
        <v>Accessories</v>
      </c>
      <c r="I102" s="32" t="n">
        <f aca="false">INDEX(Lists!$C$5:$C$12,MATCH(D102,Lists!$A$5:$A$12,0))</f>
        <v>260</v>
      </c>
      <c r="J102" s="32" t="n">
        <f aca="false">INDEX(Lists!$D$5:$D$12,MATCH(D102,Lists!$A$5:$A$12,0))</f>
        <v>150</v>
      </c>
      <c r="K102" s="32" t="n">
        <f aca="false">E102*I102*(1-F102)</f>
        <v>1300</v>
      </c>
      <c r="L102" s="32" t="n">
        <f aca="false">E102*J102</f>
        <v>750</v>
      </c>
      <c r="M102" s="32" t="n">
        <f aca="false">K102-L102</f>
        <v>550</v>
      </c>
      <c r="N102" s="33" t="n">
        <f aca="false">DATE(YEAR(B102),MONTH(B102),1)</f>
        <v>45992</v>
      </c>
    </row>
    <row r="103" customFormat="false" ht="15" hidden="false" customHeight="false" outlineLevel="0" collapsed="false">
      <c r="A103" s="29" t="s">
        <v>177</v>
      </c>
      <c r="B103" s="30" t="n">
        <v>46017</v>
      </c>
      <c r="C103" s="29" t="s">
        <v>83</v>
      </c>
      <c r="D103" s="29" t="s">
        <v>67</v>
      </c>
      <c r="E103" s="29" t="n">
        <v>9</v>
      </c>
      <c r="F103" s="31" t="n">
        <v>0</v>
      </c>
      <c r="G103" s="14" t="str">
        <f aca="false">INDEX(Lists!$G$5:$G$12,MATCH(C103,Lists!$F$5:$F$12,0))</f>
        <v>West</v>
      </c>
      <c r="H103" s="14" t="str">
        <f aca="false">INDEX(Lists!$B$5:$B$12,MATCH(D103,Lists!$A$5:$A$12,0))</f>
        <v>Accessories</v>
      </c>
      <c r="I103" s="32" t="n">
        <f aca="false">INDEX(Lists!$C$5:$C$12,MATCH(D103,Lists!$A$5:$A$12,0))</f>
        <v>120</v>
      </c>
      <c r="J103" s="32" t="n">
        <f aca="false">INDEX(Lists!$D$5:$D$12,MATCH(D103,Lists!$A$5:$A$12,0))</f>
        <v>62</v>
      </c>
      <c r="K103" s="32" t="n">
        <f aca="false">E103*I103*(1-F103)</f>
        <v>1080</v>
      </c>
      <c r="L103" s="32" t="n">
        <f aca="false">E103*J103</f>
        <v>558</v>
      </c>
      <c r="M103" s="32" t="n">
        <f aca="false">K103-L103</f>
        <v>522</v>
      </c>
      <c r="N103" s="33" t="n">
        <f aca="false">DATE(YEAR(B103),MONTH(B103),1)</f>
        <v>45992</v>
      </c>
    </row>
    <row r="104" customFormat="false" ht="15" hidden="false" customHeight="false" outlineLevel="0" collapsed="false">
      <c r="A104" s="29" t="s">
        <v>178</v>
      </c>
      <c r="B104" s="30" t="n">
        <v>46017</v>
      </c>
      <c r="C104" s="29" t="s">
        <v>64</v>
      </c>
      <c r="D104" s="29" t="s">
        <v>67</v>
      </c>
      <c r="E104" s="29" t="n">
        <v>8</v>
      </c>
      <c r="F104" s="31" t="n">
        <v>0</v>
      </c>
      <c r="G104" s="14" t="str">
        <f aca="false">INDEX(Lists!$G$5:$G$12,MATCH(C104,Lists!$F$5:$F$12,0))</f>
        <v>East</v>
      </c>
      <c r="H104" s="14" t="str">
        <f aca="false">INDEX(Lists!$B$5:$B$12,MATCH(D104,Lists!$A$5:$A$12,0))</f>
        <v>Accessories</v>
      </c>
      <c r="I104" s="32" t="n">
        <f aca="false">INDEX(Lists!$C$5:$C$12,MATCH(D104,Lists!$A$5:$A$12,0))</f>
        <v>120</v>
      </c>
      <c r="J104" s="32" t="n">
        <f aca="false">INDEX(Lists!$D$5:$D$12,MATCH(D104,Lists!$A$5:$A$12,0))</f>
        <v>62</v>
      </c>
      <c r="K104" s="32" t="n">
        <f aca="false">E104*I104*(1-F104)</f>
        <v>960</v>
      </c>
      <c r="L104" s="32" t="n">
        <f aca="false">E104*J104</f>
        <v>496</v>
      </c>
      <c r="M104" s="32" t="n">
        <f aca="false">K104-L104</f>
        <v>464</v>
      </c>
      <c r="N104" s="33" t="n">
        <f aca="false">DATE(YEAR(B104),MONTH(B104),1)</f>
        <v>45992</v>
      </c>
    </row>
    <row r="105" customFormat="false" ht="15" hidden="false" customHeight="false" outlineLevel="0" collapsed="false">
      <c r="A105" s="29" t="s">
        <v>179</v>
      </c>
      <c r="B105" s="30" t="n">
        <v>46017</v>
      </c>
      <c r="C105" s="29" t="s">
        <v>64</v>
      </c>
      <c r="D105" s="29" t="s">
        <v>67</v>
      </c>
      <c r="E105" s="29" t="n">
        <v>8</v>
      </c>
      <c r="F105" s="31" t="n">
        <v>0.05</v>
      </c>
      <c r="G105" s="14" t="str">
        <f aca="false">INDEX(Lists!$G$5:$G$12,MATCH(C105,Lists!$F$5:$F$12,0))</f>
        <v>East</v>
      </c>
      <c r="H105" s="14" t="str">
        <f aca="false">INDEX(Lists!$B$5:$B$12,MATCH(D105,Lists!$A$5:$A$12,0))</f>
        <v>Accessories</v>
      </c>
      <c r="I105" s="32" t="n">
        <f aca="false">INDEX(Lists!$C$5:$C$12,MATCH(D105,Lists!$A$5:$A$12,0))</f>
        <v>120</v>
      </c>
      <c r="J105" s="32" t="n">
        <f aca="false">INDEX(Lists!$D$5:$D$12,MATCH(D105,Lists!$A$5:$A$12,0))</f>
        <v>62</v>
      </c>
      <c r="K105" s="32" t="n">
        <f aca="false">E105*I105*(1-F105)</f>
        <v>912</v>
      </c>
      <c r="L105" s="32" t="n">
        <f aca="false">E105*J105</f>
        <v>496</v>
      </c>
      <c r="M105" s="32" t="n">
        <f aca="false">K105-L105</f>
        <v>416</v>
      </c>
      <c r="N105" s="33" t="n">
        <f aca="false">DATE(YEAR(B105),MONTH(B105),1)</f>
        <v>45992</v>
      </c>
    </row>
    <row r="106" customFormat="false" ht="15" hidden="false" customHeight="false" outlineLevel="0" collapsed="false">
      <c r="A106" s="29" t="s">
        <v>180</v>
      </c>
      <c r="B106" s="30" t="n">
        <v>46017</v>
      </c>
      <c r="C106" s="29" t="s">
        <v>83</v>
      </c>
      <c r="D106" s="29" t="s">
        <v>72</v>
      </c>
      <c r="E106" s="29" t="n">
        <v>10</v>
      </c>
      <c r="F106" s="31" t="n">
        <v>0.1</v>
      </c>
      <c r="G106" s="14" t="str">
        <f aca="false">INDEX(Lists!$G$5:$G$12,MATCH(C106,Lists!$F$5:$F$12,0))</f>
        <v>West</v>
      </c>
      <c r="H106" s="14" t="str">
        <f aca="false">INDEX(Lists!$B$5:$B$12,MATCH(D106,Lists!$A$5:$A$12,0))</f>
        <v>Accessories</v>
      </c>
      <c r="I106" s="32" t="n">
        <f aca="false">INDEX(Lists!$C$5:$C$12,MATCH(D106,Lists!$A$5:$A$12,0))</f>
        <v>80</v>
      </c>
      <c r="J106" s="32" t="n">
        <f aca="false">INDEX(Lists!$D$5:$D$12,MATCH(D106,Lists!$A$5:$A$12,0))</f>
        <v>38</v>
      </c>
      <c r="K106" s="32" t="n">
        <f aca="false">E106*I106*(1-F106)</f>
        <v>720</v>
      </c>
      <c r="L106" s="32" t="n">
        <f aca="false">E106*J106</f>
        <v>380</v>
      </c>
      <c r="M106" s="32" t="n">
        <f aca="false">K106-L106</f>
        <v>340</v>
      </c>
      <c r="N106" s="33" t="n">
        <f aca="false">DATE(YEAR(B106),MONTH(B106),1)</f>
        <v>45992</v>
      </c>
    </row>
    <row r="107" customFormat="false" ht="15" hidden="false" customHeight="false" outlineLevel="0" collapsed="false">
      <c r="A107" s="29" t="s">
        <v>181</v>
      </c>
      <c r="B107" s="30" t="n">
        <v>46019</v>
      </c>
      <c r="C107" s="29" t="s">
        <v>88</v>
      </c>
      <c r="D107" s="29" t="s">
        <v>72</v>
      </c>
      <c r="E107" s="29" t="n">
        <v>2</v>
      </c>
      <c r="F107" s="31" t="n">
        <v>0</v>
      </c>
      <c r="G107" s="14" t="str">
        <f aca="false">INDEX(Lists!$G$5:$G$12,MATCH(C107,Lists!$F$5:$F$12,0))</f>
        <v>North</v>
      </c>
      <c r="H107" s="14" t="str">
        <f aca="false">INDEX(Lists!$B$5:$B$12,MATCH(D107,Lists!$A$5:$A$12,0))</f>
        <v>Accessories</v>
      </c>
      <c r="I107" s="32" t="n">
        <f aca="false">INDEX(Lists!$C$5:$C$12,MATCH(D107,Lists!$A$5:$A$12,0))</f>
        <v>80</v>
      </c>
      <c r="J107" s="32" t="n">
        <f aca="false">INDEX(Lists!$D$5:$D$12,MATCH(D107,Lists!$A$5:$A$12,0))</f>
        <v>38</v>
      </c>
      <c r="K107" s="32" t="n">
        <f aca="false">E107*I107*(1-F107)</f>
        <v>160</v>
      </c>
      <c r="L107" s="32" t="n">
        <f aca="false">E107*J107</f>
        <v>76</v>
      </c>
      <c r="M107" s="32" t="n">
        <f aca="false">K107-L107</f>
        <v>84</v>
      </c>
      <c r="N107" s="33" t="n">
        <f aca="false">DATE(YEAR(B107),MONTH(B107),1)</f>
        <v>45992</v>
      </c>
    </row>
    <row r="108" customFormat="false" ht="15" hidden="false" customHeight="false" outlineLevel="0" collapsed="false">
      <c r="A108" s="29" t="s">
        <v>182</v>
      </c>
      <c r="B108" s="30" t="n">
        <v>46019</v>
      </c>
      <c r="C108" s="29" t="s">
        <v>69</v>
      </c>
      <c r="D108" s="29" t="s">
        <v>75</v>
      </c>
      <c r="E108" s="29" t="n">
        <v>4</v>
      </c>
      <c r="F108" s="31" t="n">
        <v>0.05</v>
      </c>
      <c r="G108" s="14" t="str">
        <f aca="false">INDEX(Lists!$G$5:$G$12,MATCH(C108,Lists!$F$5:$F$12,0))</f>
        <v>East</v>
      </c>
      <c r="H108" s="14" t="str">
        <f aca="false">INDEX(Lists!$B$5:$B$12,MATCH(D108,Lists!$A$5:$A$12,0))</f>
        <v>Audio</v>
      </c>
      <c r="I108" s="32" t="n">
        <f aca="false">INDEX(Lists!$C$5:$C$12,MATCH(D108,Lists!$A$5:$A$12,0))</f>
        <v>140</v>
      </c>
      <c r="J108" s="32" t="n">
        <f aca="false">INDEX(Lists!$D$5:$D$12,MATCH(D108,Lists!$A$5:$A$12,0))</f>
        <v>70</v>
      </c>
      <c r="K108" s="32" t="n">
        <f aca="false">E108*I108*(1-F108)</f>
        <v>532</v>
      </c>
      <c r="L108" s="32" t="n">
        <f aca="false">E108*J108</f>
        <v>280</v>
      </c>
      <c r="M108" s="32" t="n">
        <f aca="false">K108-L108</f>
        <v>252</v>
      </c>
      <c r="N108" s="33" t="n">
        <f aca="false">DATE(YEAR(B108),MONTH(B108),1)</f>
        <v>45992</v>
      </c>
    </row>
    <row r="109" customFormat="false" ht="15" hidden="false" customHeight="false" outlineLevel="0" collapsed="false">
      <c r="A109" s="29" t="s">
        <v>183</v>
      </c>
      <c r="B109" s="30" t="n">
        <v>46021</v>
      </c>
      <c r="C109" s="29" t="s">
        <v>74</v>
      </c>
      <c r="D109" s="29" t="s">
        <v>62</v>
      </c>
      <c r="E109" s="29" t="n">
        <v>4</v>
      </c>
      <c r="F109" s="31" t="n">
        <v>0.05</v>
      </c>
      <c r="G109" s="14" t="str">
        <f aca="false">INDEX(Lists!$G$5:$G$12,MATCH(C109,Lists!$F$5:$F$12,0))</f>
        <v>South</v>
      </c>
      <c r="H109" s="14" t="str">
        <f aca="false">INDEX(Lists!$B$5:$B$12,MATCH(D109,Lists!$A$5:$A$12,0))</f>
        <v>Computers</v>
      </c>
      <c r="I109" s="32" t="n">
        <f aca="false">INDEX(Lists!$C$5:$C$12,MATCH(D109,Lists!$A$5:$A$12,0))</f>
        <v>1600</v>
      </c>
      <c r="J109" s="32" t="n">
        <f aca="false">INDEX(Lists!$D$5:$D$12,MATCH(D109,Lists!$A$5:$A$12,0))</f>
        <v>1100</v>
      </c>
      <c r="K109" s="32" t="n">
        <f aca="false">E109*I109*(1-F109)</f>
        <v>6080</v>
      </c>
      <c r="L109" s="32" t="n">
        <f aca="false">E109*J109</f>
        <v>4400</v>
      </c>
      <c r="M109" s="32" t="n">
        <f aca="false">K109-L109</f>
        <v>1680</v>
      </c>
      <c r="N109" s="33" t="n">
        <f aca="false">DATE(YEAR(B109),MONTH(B109),1)</f>
        <v>45992</v>
      </c>
    </row>
    <row r="110" customFormat="false" ht="15" hidden="false" customHeight="false" outlineLevel="0" collapsed="false">
      <c r="A110" s="29" t="s">
        <v>184</v>
      </c>
      <c r="B110" s="30" t="n">
        <v>46021</v>
      </c>
      <c r="C110" s="29" t="s">
        <v>93</v>
      </c>
      <c r="D110" s="29" t="s">
        <v>65</v>
      </c>
      <c r="E110" s="29" t="n">
        <v>3</v>
      </c>
      <c r="F110" s="31" t="n">
        <v>0.05</v>
      </c>
      <c r="G110" s="14" t="str">
        <f aca="false">INDEX(Lists!$G$5:$G$12,MATCH(C110,Lists!$F$5:$F$12,0))</f>
        <v>West</v>
      </c>
      <c r="H110" s="14" t="str">
        <f aca="false">INDEX(Lists!$B$5:$B$12,MATCH(D110,Lists!$A$5:$A$12,0))</f>
        <v>Accessories</v>
      </c>
      <c r="I110" s="32" t="n">
        <f aca="false">INDEX(Lists!$C$5:$C$12,MATCH(D110,Lists!$A$5:$A$12,0))</f>
        <v>260</v>
      </c>
      <c r="J110" s="32" t="n">
        <f aca="false">INDEX(Lists!$D$5:$D$12,MATCH(D110,Lists!$A$5:$A$12,0))</f>
        <v>150</v>
      </c>
      <c r="K110" s="32" t="n">
        <f aca="false">E110*I110*(1-F110)</f>
        <v>741</v>
      </c>
      <c r="L110" s="32" t="n">
        <f aca="false">E110*J110</f>
        <v>450</v>
      </c>
      <c r="M110" s="32" t="n">
        <f aca="false">K110-L110</f>
        <v>291</v>
      </c>
      <c r="N110" s="33" t="n">
        <f aca="false">DATE(YEAR(B110),MONTH(B110),1)</f>
        <v>45992</v>
      </c>
    </row>
    <row r="111" customFormat="false" ht="15" hidden="false" customHeight="false" outlineLevel="0" collapsed="false">
      <c r="A111" s="29" t="s">
        <v>185</v>
      </c>
      <c r="B111" s="30" t="n">
        <v>46021</v>
      </c>
      <c r="C111" s="29" t="s">
        <v>88</v>
      </c>
      <c r="D111" s="29" t="s">
        <v>91</v>
      </c>
      <c r="E111" s="29" t="n">
        <v>16</v>
      </c>
      <c r="F111" s="31" t="n">
        <v>0.15</v>
      </c>
      <c r="G111" s="14" t="str">
        <f aca="false">INDEX(Lists!$G$5:$G$12,MATCH(C111,Lists!$F$5:$F$12,0))</f>
        <v>North</v>
      </c>
      <c r="H111" s="14" t="str">
        <f aca="false">INDEX(Lists!$B$5:$B$12,MATCH(D111,Lists!$A$5:$A$12,0))</f>
        <v>Audio</v>
      </c>
      <c r="I111" s="32" t="n">
        <f aca="false">INDEX(Lists!$C$5:$C$12,MATCH(D111,Lists!$A$5:$A$12,0))</f>
        <v>190</v>
      </c>
      <c r="J111" s="32" t="n">
        <f aca="false">INDEX(Lists!$D$5:$D$12,MATCH(D111,Lists!$A$5:$A$12,0))</f>
        <v>105</v>
      </c>
      <c r="K111" s="32" t="n">
        <f aca="false">E111*I111*(1-F111)</f>
        <v>2584</v>
      </c>
      <c r="L111" s="32" t="n">
        <f aca="false">E111*J111</f>
        <v>1680</v>
      </c>
      <c r="M111" s="32" t="n">
        <f aca="false">K111-L111</f>
        <v>904</v>
      </c>
      <c r="N111" s="33" t="n">
        <f aca="false">DATE(YEAR(B111),MONTH(B111),1)</f>
        <v>45992</v>
      </c>
    </row>
    <row r="112" customFormat="false" ht="15" hidden="false" customHeight="false" outlineLevel="0" collapsed="false">
      <c r="A112" s="29" t="s">
        <v>186</v>
      </c>
      <c r="B112" s="30" t="n">
        <v>46022</v>
      </c>
      <c r="C112" s="29" t="s">
        <v>69</v>
      </c>
      <c r="D112" s="29" t="s">
        <v>72</v>
      </c>
      <c r="E112" s="29" t="n">
        <v>12</v>
      </c>
      <c r="F112" s="31" t="n">
        <v>0</v>
      </c>
      <c r="G112" s="14" t="str">
        <f aca="false">INDEX(Lists!$G$5:$G$12,MATCH(C112,Lists!$F$5:$F$12,0))</f>
        <v>East</v>
      </c>
      <c r="H112" s="14" t="str">
        <f aca="false">INDEX(Lists!$B$5:$B$12,MATCH(D112,Lists!$A$5:$A$12,0))</f>
        <v>Accessories</v>
      </c>
      <c r="I112" s="32" t="n">
        <f aca="false">INDEX(Lists!$C$5:$C$12,MATCH(D112,Lists!$A$5:$A$12,0))</f>
        <v>80</v>
      </c>
      <c r="J112" s="32" t="n">
        <f aca="false">INDEX(Lists!$D$5:$D$12,MATCH(D112,Lists!$A$5:$A$12,0))</f>
        <v>38</v>
      </c>
      <c r="K112" s="32" t="n">
        <f aca="false">E112*I112*(1-F112)</f>
        <v>960</v>
      </c>
      <c r="L112" s="32" t="n">
        <f aca="false">E112*J112</f>
        <v>456</v>
      </c>
      <c r="M112" s="32" t="n">
        <f aca="false">K112-L112</f>
        <v>504</v>
      </c>
      <c r="N112" s="33" t="n">
        <f aca="false">DATE(YEAR(B112),MONTH(B112),1)</f>
        <v>45992</v>
      </c>
    </row>
    <row r="113" customFormat="false" ht="15" hidden="false" customHeight="false" outlineLevel="0" collapsed="false">
      <c r="A113" s="29" t="s">
        <v>187</v>
      </c>
      <c r="B113" s="30" t="n">
        <v>46023</v>
      </c>
      <c r="C113" s="29" t="s">
        <v>83</v>
      </c>
      <c r="D113" s="29" t="s">
        <v>70</v>
      </c>
      <c r="E113" s="29" t="n">
        <v>6</v>
      </c>
      <c r="F113" s="31" t="n">
        <v>0</v>
      </c>
      <c r="G113" s="14" t="str">
        <f aca="false">INDEX(Lists!$G$5:$G$12,MATCH(C113,Lists!$F$5:$F$12,0))</f>
        <v>West</v>
      </c>
      <c r="H113" s="14" t="str">
        <f aca="false">INDEX(Lists!$B$5:$B$12,MATCH(D113,Lists!$A$5:$A$12,0))</f>
        <v>Displays</v>
      </c>
      <c r="I113" s="32" t="n">
        <f aca="false">INDEX(Lists!$C$5:$C$12,MATCH(D113,Lists!$A$5:$A$12,0))</f>
        <v>520</v>
      </c>
      <c r="J113" s="32" t="n">
        <f aca="false">INDEX(Lists!$D$5:$D$12,MATCH(D113,Lists!$A$5:$A$12,0))</f>
        <v>340</v>
      </c>
      <c r="K113" s="32" t="n">
        <f aca="false">E113*I113*(1-F113)</f>
        <v>3120</v>
      </c>
      <c r="L113" s="32" t="n">
        <f aca="false">E113*J113</f>
        <v>2040</v>
      </c>
      <c r="M113" s="32" t="n">
        <f aca="false">K113-L113</f>
        <v>1080</v>
      </c>
      <c r="N113" s="33" t="n">
        <f aca="false">DATE(YEAR(B113),MONTH(B113),1)</f>
        <v>46023</v>
      </c>
    </row>
    <row r="114" customFormat="false" ht="15" hidden="false" customHeight="false" outlineLevel="0" collapsed="false">
      <c r="A114" s="29" t="s">
        <v>188</v>
      </c>
      <c r="B114" s="30" t="n">
        <v>46024</v>
      </c>
      <c r="C114" s="29" t="s">
        <v>64</v>
      </c>
      <c r="D114" s="29" t="s">
        <v>62</v>
      </c>
      <c r="E114" s="29" t="n">
        <v>3</v>
      </c>
      <c r="F114" s="31" t="n">
        <v>0.05</v>
      </c>
      <c r="G114" s="14" t="str">
        <f aca="false">INDEX(Lists!$G$5:$G$12,MATCH(C114,Lists!$F$5:$F$12,0))</f>
        <v>East</v>
      </c>
      <c r="H114" s="14" t="str">
        <f aca="false">INDEX(Lists!$B$5:$B$12,MATCH(D114,Lists!$A$5:$A$12,0))</f>
        <v>Computers</v>
      </c>
      <c r="I114" s="32" t="n">
        <f aca="false">INDEX(Lists!$C$5:$C$12,MATCH(D114,Lists!$A$5:$A$12,0))</f>
        <v>1600</v>
      </c>
      <c r="J114" s="32" t="n">
        <f aca="false">INDEX(Lists!$D$5:$D$12,MATCH(D114,Lists!$A$5:$A$12,0))</f>
        <v>1100</v>
      </c>
      <c r="K114" s="32" t="n">
        <f aca="false">E114*I114*(1-F114)</f>
        <v>4560</v>
      </c>
      <c r="L114" s="32" t="n">
        <f aca="false">E114*J114</f>
        <v>3300</v>
      </c>
      <c r="M114" s="32" t="n">
        <f aca="false">K114-L114</f>
        <v>1260</v>
      </c>
      <c r="N114" s="33" t="n">
        <f aca="false">DATE(YEAR(B114),MONTH(B114),1)</f>
        <v>46023</v>
      </c>
    </row>
    <row r="115" customFormat="false" ht="15" hidden="false" customHeight="false" outlineLevel="0" collapsed="false">
      <c r="A115" s="29" t="s">
        <v>189</v>
      </c>
      <c r="B115" s="30" t="n">
        <v>46025</v>
      </c>
      <c r="C115" s="29" t="s">
        <v>69</v>
      </c>
      <c r="D115" s="29" t="s">
        <v>80</v>
      </c>
      <c r="E115" s="29" t="n">
        <v>1</v>
      </c>
      <c r="F115" s="31" t="n">
        <v>0</v>
      </c>
      <c r="G115" s="14" t="str">
        <f aca="false">INDEX(Lists!$G$5:$G$12,MATCH(C115,Lists!$F$5:$F$12,0))</f>
        <v>East</v>
      </c>
      <c r="H115" s="14" t="str">
        <f aca="false">INDEX(Lists!$B$5:$B$12,MATCH(D115,Lists!$A$5:$A$12,0))</f>
        <v>Computers</v>
      </c>
      <c r="I115" s="32" t="n">
        <f aca="false">INDEX(Lists!$C$5:$C$12,MATCH(D115,Lists!$A$5:$A$12,0))</f>
        <v>2400</v>
      </c>
      <c r="J115" s="32" t="n">
        <f aca="false">INDEX(Lists!$D$5:$D$12,MATCH(D115,Lists!$A$5:$A$12,0))</f>
        <v>1650</v>
      </c>
      <c r="K115" s="32" t="n">
        <f aca="false">E115*I115*(1-F115)</f>
        <v>2400</v>
      </c>
      <c r="L115" s="32" t="n">
        <f aca="false">E115*J115</f>
        <v>1650</v>
      </c>
      <c r="M115" s="32" t="n">
        <f aca="false">K115-L115</f>
        <v>750</v>
      </c>
      <c r="N115" s="33" t="n">
        <f aca="false">DATE(YEAR(B115),MONTH(B115),1)</f>
        <v>46023</v>
      </c>
    </row>
    <row r="116" customFormat="false" ht="15" hidden="false" customHeight="false" outlineLevel="0" collapsed="false">
      <c r="A116" s="29" t="s">
        <v>190</v>
      </c>
      <c r="B116" s="30" t="n">
        <v>46027</v>
      </c>
      <c r="C116" s="29" t="s">
        <v>83</v>
      </c>
      <c r="D116" s="29" t="s">
        <v>75</v>
      </c>
      <c r="E116" s="29" t="n">
        <v>7</v>
      </c>
      <c r="F116" s="31" t="n">
        <v>0</v>
      </c>
      <c r="G116" s="14" t="str">
        <f aca="false">INDEX(Lists!$G$5:$G$12,MATCH(C116,Lists!$F$5:$F$12,0))</f>
        <v>West</v>
      </c>
      <c r="H116" s="14" t="str">
        <f aca="false">INDEX(Lists!$B$5:$B$12,MATCH(D116,Lists!$A$5:$A$12,0))</f>
        <v>Audio</v>
      </c>
      <c r="I116" s="32" t="n">
        <f aca="false">INDEX(Lists!$C$5:$C$12,MATCH(D116,Lists!$A$5:$A$12,0))</f>
        <v>140</v>
      </c>
      <c r="J116" s="32" t="n">
        <f aca="false">INDEX(Lists!$D$5:$D$12,MATCH(D116,Lists!$A$5:$A$12,0))</f>
        <v>70</v>
      </c>
      <c r="K116" s="32" t="n">
        <f aca="false">E116*I116*(1-F116)</f>
        <v>980</v>
      </c>
      <c r="L116" s="32" t="n">
        <f aca="false">E116*J116</f>
        <v>490</v>
      </c>
      <c r="M116" s="32" t="n">
        <f aca="false">K116-L116</f>
        <v>490</v>
      </c>
      <c r="N116" s="33" t="n">
        <f aca="false">DATE(YEAR(B116),MONTH(B116),1)</f>
        <v>46023</v>
      </c>
    </row>
    <row r="117" customFormat="false" ht="15" hidden="false" customHeight="false" outlineLevel="0" collapsed="false">
      <c r="A117" s="29" t="s">
        <v>191</v>
      </c>
      <c r="B117" s="30" t="n">
        <v>46027</v>
      </c>
      <c r="C117" s="29" t="s">
        <v>86</v>
      </c>
      <c r="D117" s="29" t="s">
        <v>72</v>
      </c>
      <c r="E117" s="29" t="n">
        <v>11</v>
      </c>
      <c r="F117" s="31" t="n">
        <v>0</v>
      </c>
      <c r="G117" s="14" t="str">
        <f aca="false">INDEX(Lists!$G$5:$G$12,MATCH(C117,Lists!$F$5:$F$12,0))</f>
        <v>North</v>
      </c>
      <c r="H117" s="14" t="str">
        <f aca="false">INDEX(Lists!$B$5:$B$12,MATCH(D117,Lists!$A$5:$A$12,0))</f>
        <v>Accessories</v>
      </c>
      <c r="I117" s="32" t="n">
        <f aca="false">INDEX(Lists!$C$5:$C$12,MATCH(D117,Lists!$A$5:$A$12,0))</f>
        <v>80</v>
      </c>
      <c r="J117" s="32" t="n">
        <f aca="false">INDEX(Lists!$D$5:$D$12,MATCH(D117,Lists!$A$5:$A$12,0))</f>
        <v>38</v>
      </c>
      <c r="K117" s="32" t="n">
        <f aca="false">E117*I117*(1-F117)</f>
        <v>880</v>
      </c>
      <c r="L117" s="32" t="n">
        <f aca="false">E117*J117</f>
        <v>418</v>
      </c>
      <c r="M117" s="32" t="n">
        <f aca="false">K117-L117</f>
        <v>462</v>
      </c>
      <c r="N117" s="33" t="n">
        <f aca="false">DATE(YEAR(B117),MONTH(B117),1)</f>
        <v>46023</v>
      </c>
    </row>
    <row r="118" customFormat="false" ht="15" hidden="false" customHeight="false" outlineLevel="0" collapsed="false">
      <c r="A118" s="29" t="s">
        <v>192</v>
      </c>
      <c r="B118" s="30" t="n">
        <v>46028</v>
      </c>
      <c r="C118" s="29" t="s">
        <v>74</v>
      </c>
      <c r="D118" s="29" t="s">
        <v>70</v>
      </c>
      <c r="E118" s="29" t="n">
        <v>4</v>
      </c>
      <c r="F118" s="31" t="n">
        <v>0.15</v>
      </c>
      <c r="G118" s="14" t="str">
        <f aca="false">INDEX(Lists!$G$5:$G$12,MATCH(C118,Lists!$F$5:$F$12,0))</f>
        <v>South</v>
      </c>
      <c r="H118" s="14" t="str">
        <f aca="false">INDEX(Lists!$B$5:$B$12,MATCH(D118,Lists!$A$5:$A$12,0))</f>
        <v>Displays</v>
      </c>
      <c r="I118" s="32" t="n">
        <f aca="false">INDEX(Lists!$C$5:$C$12,MATCH(D118,Lists!$A$5:$A$12,0))</f>
        <v>520</v>
      </c>
      <c r="J118" s="32" t="n">
        <f aca="false">INDEX(Lists!$D$5:$D$12,MATCH(D118,Lists!$A$5:$A$12,0))</f>
        <v>340</v>
      </c>
      <c r="K118" s="32" t="n">
        <f aca="false">E118*I118*(1-F118)</f>
        <v>1768</v>
      </c>
      <c r="L118" s="32" t="n">
        <f aca="false">E118*J118</f>
        <v>1360</v>
      </c>
      <c r="M118" s="32" t="n">
        <f aca="false">K118-L118</f>
        <v>408</v>
      </c>
      <c r="N118" s="33" t="n">
        <f aca="false">DATE(YEAR(B118),MONTH(B118),1)</f>
        <v>46023</v>
      </c>
    </row>
    <row r="119" customFormat="false" ht="15" hidden="false" customHeight="false" outlineLevel="0" collapsed="false">
      <c r="A119" s="29" t="s">
        <v>193</v>
      </c>
      <c r="B119" s="30" t="n">
        <v>46029</v>
      </c>
      <c r="C119" s="29" t="s">
        <v>61</v>
      </c>
      <c r="D119" s="29" t="s">
        <v>80</v>
      </c>
      <c r="E119" s="29" t="n">
        <v>2</v>
      </c>
      <c r="F119" s="31" t="n">
        <v>0.05</v>
      </c>
      <c r="G119" s="14" t="str">
        <f aca="false">INDEX(Lists!$G$5:$G$12,MATCH(C119,Lists!$F$5:$F$12,0))</f>
        <v>South</v>
      </c>
      <c r="H119" s="14" t="str">
        <f aca="false">INDEX(Lists!$B$5:$B$12,MATCH(D119,Lists!$A$5:$A$12,0))</f>
        <v>Computers</v>
      </c>
      <c r="I119" s="32" t="n">
        <f aca="false">INDEX(Lists!$C$5:$C$12,MATCH(D119,Lists!$A$5:$A$12,0))</f>
        <v>2400</v>
      </c>
      <c r="J119" s="32" t="n">
        <f aca="false">INDEX(Lists!$D$5:$D$12,MATCH(D119,Lists!$A$5:$A$12,0))</f>
        <v>1650</v>
      </c>
      <c r="K119" s="32" t="n">
        <f aca="false">E119*I119*(1-F119)</f>
        <v>4560</v>
      </c>
      <c r="L119" s="32" t="n">
        <f aca="false">E119*J119</f>
        <v>3300</v>
      </c>
      <c r="M119" s="32" t="n">
        <f aca="false">K119-L119</f>
        <v>1260</v>
      </c>
      <c r="N119" s="33" t="n">
        <f aca="false">DATE(YEAR(B119),MONTH(B119),1)</f>
        <v>46023</v>
      </c>
    </row>
    <row r="120" customFormat="false" ht="15" hidden="false" customHeight="false" outlineLevel="0" collapsed="false">
      <c r="A120" s="29" t="s">
        <v>194</v>
      </c>
      <c r="B120" s="30" t="n">
        <v>46029</v>
      </c>
      <c r="C120" s="29" t="s">
        <v>61</v>
      </c>
      <c r="D120" s="29" t="s">
        <v>91</v>
      </c>
      <c r="E120" s="29" t="n">
        <v>5</v>
      </c>
      <c r="F120" s="31" t="n">
        <v>0</v>
      </c>
      <c r="G120" s="14" t="str">
        <f aca="false">INDEX(Lists!$G$5:$G$12,MATCH(C120,Lists!$F$5:$F$12,0))</f>
        <v>South</v>
      </c>
      <c r="H120" s="14" t="str">
        <f aca="false">INDEX(Lists!$B$5:$B$12,MATCH(D120,Lists!$A$5:$A$12,0))</f>
        <v>Audio</v>
      </c>
      <c r="I120" s="32" t="n">
        <f aca="false">INDEX(Lists!$C$5:$C$12,MATCH(D120,Lists!$A$5:$A$12,0))</f>
        <v>190</v>
      </c>
      <c r="J120" s="32" t="n">
        <f aca="false">INDEX(Lists!$D$5:$D$12,MATCH(D120,Lists!$A$5:$A$12,0))</f>
        <v>105</v>
      </c>
      <c r="K120" s="32" t="n">
        <f aca="false">E120*I120*(1-F120)</f>
        <v>950</v>
      </c>
      <c r="L120" s="32" t="n">
        <f aca="false">E120*J120</f>
        <v>525</v>
      </c>
      <c r="M120" s="32" t="n">
        <f aca="false">K120-L120</f>
        <v>425</v>
      </c>
      <c r="N120" s="33" t="n">
        <f aca="false">DATE(YEAR(B120),MONTH(B120),1)</f>
        <v>46023</v>
      </c>
    </row>
    <row r="121" customFormat="false" ht="15" hidden="false" customHeight="false" outlineLevel="0" collapsed="false">
      <c r="A121" s="29" t="s">
        <v>195</v>
      </c>
      <c r="B121" s="30" t="n">
        <v>46030</v>
      </c>
      <c r="C121" s="29" t="s">
        <v>86</v>
      </c>
      <c r="D121" s="29" t="s">
        <v>72</v>
      </c>
      <c r="E121" s="29" t="n">
        <v>5</v>
      </c>
      <c r="F121" s="31" t="n">
        <v>0</v>
      </c>
      <c r="G121" s="14" t="str">
        <f aca="false">INDEX(Lists!$G$5:$G$12,MATCH(C121,Lists!$F$5:$F$12,0))</f>
        <v>North</v>
      </c>
      <c r="H121" s="14" t="str">
        <f aca="false">INDEX(Lists!$B$5:$B$12,MATCH(D121,Lists!$A$5:$A$12,0))</f>
        <v>Accessories</v>
      </c>
      <c r="I121" s="32" t="n">
        <f aca="false">INDEX(Lists!$C$5:$C$12,MATCH(D121,Lists!$A$5:$A$12,0))</f>
        <v>80</v>
      </c>
      <c r="J121" s="32" t="n">
        <f aca="false">INDEX(Lists!$D$5:$D$12,MATCH(D121,Lists!$A$5:$A$12,0))</f>
        <v>38</v>
      </c>
      <c r="K121" s="32" t="n">
        <f aca="false">E121*I121*(1-F121)</f>
        <v>400</v>
      </c>
      <c r="L121" s="32" t="n">
        <f aca="false">E121*J121</f>
        <v>190</v>
      </c>
      <c r="M121" s="32" t="n">
        <f aca="false">K121-L121</f>
        <v>210</v>
      </c>
      <c r="N121" s="33" t="n">
        <f aca="false">DATE(YEAR(B121),MONTH(B121),1)</f>
        <v>46023</v>
      </c>
    </row>
    <row r="122" customFormat="false" ht="15" hidden="false" customHeight="false" outlineLevel="0" collapsed="false">
      <c r="A122" s="29" t="s">
        <v>196</v>
      </c>
      <c r="B122" s="30" t="n">
        <v>46033</v>
      </c>
      <c r="C122" s="29" t="s">
        <v>69</v>
      </c>
      <c r="D122" s="29" t="s">
        <v>75</v>
      </c>
      <c r="E122" s="29" t="n">
        <v>6</v>
      </c>
      <c r="F122" s="31" t="n">
        <v>0.15</v>
      </c>
      <c r="G122" s="14" t="str">
        <f aca="false">INDEX(Lists!$G$5:$G$12,MATCH(C122,Lists!$F$5:$F$12,0))</f>
        <v>East</v>
      </c>
      <c r="H122" s="14" t="str">
        <f aca="false">INDEX(Lists!$B$5:$B$12,MATCH(D122,Lists!$A$5:$A$12,0))</f>
        <v>Audio</v>
      </c>
      <c r="I122" s="32" t="n">
        <f aca="false">INDEX(Lists!$C$5:$C$12,MATCH(D122,Lists!$A$5:$A$12,0))</f>
        <v>140</v>
      </c>
      <c r="J122" s="32" t="n">
        <f aca="false">INDEX(Lists!$D$5:$D$12,MATCH(D122,Lists!$A$5:$A$12,0))</f>
        <v>70</v>
      </c>
      <c r="K122" s="32" t="n">
        <f aca="false">E122*I122*(1-F122)</f>
        <v>714</v>
      </c>
      <c r="L122" s="32" t="n">
        <f aca="false">E122*J122</f>
        <v>420</v>
      </c>
      <c r="M122" s="32" t="n">
        <f aca="false">K122-L122</f>
        <v>294</v>
      </c>
      <c r="N122" s="33" t="n">
        <f aca="false">DATE(YEAR(B122),MONTH(B122),1)</f>
        <v>46023</v>
      </c>
    </row>
    <row r="123" customFormat="false" ht="15" hidden="false" customHeight="false" outlineLevel="0" collapsed="false">
      <c r="A123" s="29" t="s">
        <v>197</v>
      </c>
      <c r="B123" s="30" t="n">
        <v>46035</v>
      </c>
      <c r="C123" s="29" t="s">
        <v>86</v>
      </c>
      <c r="D123" s="29" t="s">
        <v>62</v>
      </c>
      <c r="E123" s="29" t="n">
        <v>1</v>
      </c>
      <c r="F123" s="31" t="n">
        <v>0</v>
      </c>
      <c r="G123" s="14" t="str">
        <f aca="false">INDEX(Lists!$G$5:$G$12,MATCH(C123,Lists!$F$5:$F$12,0))</f>
        <v>North</v>
      </c>
      <c r="H123" s="14" t="str">
        <f aca="false">INDEX(Lists!$B$5:$B$12,MATCH(D123,Lists!$A$5:$A$12,0))</f>
        <v>Computers</v>
      </c>
      <c r="I123" s="32" t="n">
        <f aca="false">INDEX(Lists!$C$5:$C$12,MATCH(D123,Lists!$A$5:$A$12,0))</f>
        <v>1600</v>
      </c>
      <c r="J123" s="32" t="n">
        <f aca="false">INDEX(Lists!$D$5:$D$12,MATCH(D123,Lists!$A$5:$A$12,0))</f>
        <v>1100</v>
      </c>
      <c r="K123" s="32" t="n">
        <f aca="false">E123*I123*(1-F123)</f>
        <v>1600</v>
      </c>
      <c r="L123" s="32" t="n">
        <f aca="false">E123*J123</f>
        <v>1100</v>
      </c>
      <c r="M123" s="32" t="n">
        <f aca="false">K123-L123</f>
        <v>500</v>
      </c>
      <c r="N123" s="33" t="n">
        <f aca="false">DATE(YEAR(B123),MONTH(B123),1)</f>
        <v>46023</v>
      </c>
    </row>
    <row r="124" customFormat="false" ht="15" hidden="false" customHeight="false" outlineLevel="0" collapsed="false">
      <c r="A124" s="29" t="s">
        <v>198</v>
      </c>
      <c r="B124" s="30" t="n">
        <v>46036</v>
      </c>
      <c r="C124" s="29" t="s">
        <v>61</v>
      </c>
      <c r="D124" s="29" t="s">
        <v>65</v>
      </c>
      <c r="E124" s="29" t="n">
        <v>6</v>
      </c>
      <c r="F124" s="31" t="n">
        <v>0.05</v>
      </c>
      <c r="G124" s="14" t="str">
        <f aca="false">INDEX(Lists!$G$5:$G$12,MATCH(C124,Lists!$F$5:$F$12,0))</f>
        <v>South</v>
      </c>
      <c r="H124" s="14" t="str">
        <f aca="false">INDEX(Lists!$B$5:$B$12,MATCH(D124,Lists!$A$5:$A$12,0))</f>
        <v>Accessories</v>
      </c>
      <c r="I124" s="32" t="n">
        <f aca="false">INDEX(Lists!$C$5:$C$12,MATCH(D124,Lists!$A$5:$A$12,0))</f>
        <v>260</v>
      </c>
      <c r="J124" s="32" t="n">
        <f aca="false">INDEX(Lists!$D$5:$D$12,MATCH(D124,Lists!$A$5:$A$12,0))</f>
        <v>150</v>
      </c>
      <c r="K124" s="32" t="n">
        <f aca="false">E124*I124*(1-F124)</f>
        <v>1482</v>
      </c>
      <c r="L124" s="32" t="n">
        <f aca="false">E124*J124</f>
        <v>900</v>
      </c>
      <c r="M124" s="32" t="n">
        <f aca="false">K124-L124</f>
        <v>582</v>
      </c>
      <c r="N124" s="33" t="n">
        <f aca="false">DATE(YEAR(B124),MONTH(B124),1)</f>
        <v>46023</v>
      </c>
    </row>
    <row r="125" customFormat="false" ht="15" hidden="false" customHeight="false" outlineLevel="0" collapsed="false">
      <c r="A125" s="29" t="s">
        <v>199</v>
      </c>
      <c r="B125" s="30" t="n">
        <v>46037</v>
      </c>
      <c r="C125" s="29" t="s">
        <v>69</v>
      </c>
      <c r="D125" s="29" t="s">
        <v>80</v>
      </c>
      <c r="E125" s="29" t="n">
        <v>2</v>
      </c>
      <c r="F125" s="31" t="n">
        <v>0</v>
      </c>
      <c r="G125" s="14" t="str">
        <f aca="false">INDEX(Lists!$G$5:$G$12,MATCH(C125,Lists!$F$5:$F$12,0))</f>
        <v>East</v>
      </c>
      <c r="H125" s="14" t="str">
        <f aca="false">INDEX(Lists!$B$5:$B$12,MATCH(D125,Lists!$A$5:$A$12,0))</f>
        <v>Computers</v>
      </c>
      <c r="I125" s="32" t="n">
        <f aca="false">INDEX(Lists!$C$5:$C$12,MATCH(D125,Lists!$A$5:$A$12,0))</f>
        <v>2400</v>
      </c>
      <c r="J125" s="32" t="n">
        <f aca="false">INDEX(Lists!$D$5:$D$12,MATCH(D125,Lists!$A$5:$A$12,0))</f>
        <v>1650</v>
      </c>
      <c r="K125" s="32" t="n">
        <f aca="false">E125*I125*(1-F125)</f>
        <v>4800</v>
      </c>
      <c r="L125" s="32" t="n">
        <f aca="false">E125*J125</f>
        <v>3300</v>
      </c>
      <c r="M125" s="32" t="n">
        <f aca="false">K125-L125</f>
        <v>1500</v>
      </c>
      <c r="N125" s="33" t="n">
        <f aca="false">DATE(YEAR(B125),MONTH(B125),1)</f>
        <v>46023</v>
      </c>
    </row>
    <row r="126" customFormat="false" ht="15" hidden="false" customHeight="false" outlineLevel="0" collapsed="false">
      <c r="A126" s="29" t="s">
        <v>200</v>
      </c>
      <c r="B126" s="30" t="n">
        <v>46037</v>
      </c>
      <c r="C126" s="29" t="s">
        <v>88</v>
      </c>
      <c r="D126" s="29" t="s">
        <v>72</v>
      </c>
      <c r="E126" s="29" t="n">
        <v>3</v>
      </c>
      <c r="F126" s="31" t="n">
        <v>0.1</v>
      </c>
      <c r="G126" s="14" t="str">
        <f aca="false">INDEX(Lists!$G$5:$G$12,MATCH(C126,Lists!$F$5:$F$12,0))</f>
        <v>North</v>
      </c>
      <c r="H126" s="14" t="str">
        <f aca="false">INDEX(Lists!$B$5:$B$12,MATCH(D126,Lists!$A$5:$A$12,0))</f>
        <v>Accessories</v>
      </c>
      <c r="I126" s="32" t="n">
        <f aca="false">INDEX(Lists!$C$5:$C$12,MATCH(D126,Lists!$A$5:$A$12,0))</f>
        <v>80</v>
      </c>
      <c r="J126" s="32" t="n">
        <f aca="false">INDEX(Lists!$D$5:$D$12,MATCH(D126,Lists!$A$5:$A$12,0))</f>
        <v>38</v>
      </c>
      <c r="K126" s="32" t="n">
        <f aca="false">E126*I126*(1-F126)</f>
        <v>216</v>
      </c>
      <c r="L126" s="32" t="n">
        <f aca="false">E126*J126</f>
        <v>114</v>
      </c>
      <c r="M126" s="32" t="n">
        <f aca="false">K126-L126</f>
        <v>102</v>
      </c>
      <c r="N126" s="33" t="n">
        <f aca="false">DATE(YEAR(B126),MONTH(B126),1)</f>
        <v>46023</v>
      </c>
    </row>
    <row r="127" customFormat="false" ht="15" hidden="false" customHeight="false" outlineLevel="0" collapsed="false">
      <c r="A127" s="29" t="s">
        <v>201</v>
      </c>
      <c r="B127" s="30" t="n">
        <v>46037</v>
      </c>
      <c r="C127" s="29" t="s">
        <v>64</v>
      </c>
      <c r="D127" s="29" t="s">
        <v>67</v>
      </c>
      <c r="E127" s="29" t="n">
        <v>19</v>
      </c>
      <c r="F127" s="31" t="n">
        <v>0.05</v>
      </c>
      <c r="G127" s="14" t="str">
        <f aca="false">INDEX(Lists!$G$5:$G$12,MATCH(C127,Lists!$F$5:$F$12,0))</f>
        <v>East</v>
      </c>
      <c r="H127" s="14" t="str">
        <f aca="false">INDEX(Lists!$B$5:$B$12,MATCH(D127,Lists!$A$5:$A$12,0))</f>
        <v>Accessories</v>
      </c>
      <c r="I127" s="32" t="n">
        <f aca="false">INDEX(Lists!$C$5:$C$12,MATCH(D127,Lists!$A$5:$A$12,0))</f>
        <v>120</v>
      </c>
      <c r="J127" s="32" t="n">
        <f aca="false">INDEX(Lists!$D$5:$D$12,MATCH(D127,Lists!$A$5:$A$12,0))</f>
        <v>62</v>
      </c>
      <c r="K127" s="32" t="n">
        <f aca="false">E127*I127*(1-F127)</f>
        <v>2166</v>
      </c>
      <c r="L127" s="32" t="n">
        <f aca="false">E127*J127</f>
        <v>1178</v>
      </c>
      <c r="M127" s="32" t="n">
        <f aca="false">K127-L127</f>
        <v>988</v>
      </c>
      <c r="N127" s="33" t="n">
        <f aca="false">DATE(YEAR(B127),MONTH(B127),1)</f>
        <v>46023</v>
      </c>
    </row>
    <row r="128" customFormat="false" ht="15" hidden="false" customHeight="false" outlineLevel="0" collapsed="false">
      <c r="A128" s="29" t="s">
        <v>202</v>
      </c>
      <c r="B128" s="30" t="n">
        <v>46037</v>
      </c>
      <c r="C128" s="29" t="s">
        <v>61</v>
      </c>
      <c r="D128" s="29" t="s">
        <v>62</v>
      </c>
      <c r="E128" s="29" t="n">
        <v>1</v>
      </c>
      <c r="F128" s="31" t="n">
        <v>0.05</v>
      </c>
      <c r="G128" s="14" t="str">
        <f aca="false">INDEX(Lists!$G$5:$G$12,MATCH(C128,Lists!$F$5:$F$12,0))</f>
        <v>South</v>
      </c>
      <c r="H128" s="14" t="str">
        <f aca="false">INDEX(Lists!$B$5:$B$12,MATCH(D128,Lists!$A$5:$A$12,0))</f>
        <v>Computers</v>
      </c>
      <c r="I128" s="32" t="n">
        <f aca="false">INDEX(Lists!$C$5:$C$12,MATCH(D128,Lists!$A$5:$A$12,0))</f>
        <v>1600</v>
      </c>
      <c r="J128" s="32" t="n">
        <f aca="false">INDEX(Lists!$D$5:$D$12,MATCH(D128,Lists!$A$5:$A$12,0))</f>
        <v>1100</v>
      </c>
      <c r="K128" s="32" t="n">
        <f aca="false">E128*I128*(1-F128)</f>
        <v>1520</v>
      </c>
      <c r="L128" s="32" t="n">
        <f aca="false">E128*J128</f>
        <v>1100</v>
      </c>
      <c r="M128" s="32" t="n">
        <f aca="false">K128-L128</f>
        <v>420</v>
      </c>
      <c r="N128" s="33" t="n">
        <f aca="false">DATE(YEAR(B128),MONTH(B128),1)</f>
        <v>46023</v>
      </c>
    </row>
    <row r="129" customFormat="false" ht="15" hidden="false" customHeight="false" outlineLevel="0" collapsed="false">
      <c r="A129" s="29" t="s">
        <v>203</v>
      </c>
      <c r="B129" s="30" t="n">
        <v>46037</v>
      </c>
      <c r="C129" s="29" t="s">
        <v>69</v>
      </c>
      <c r="D129" s="29" t="s">
        <v>72</v>
      </c>
      <c r="E129" s="29" t="n">
        <v>1</v>
      </c>
      <c r="F129" s="31" t="n">
        <v>0.05</v>
      </c>
      <c r="G129" s="14" t="str">
        <f aca="false">INDEX(Lists!$G$5:$G$12,MATCH(C129,Lists!$F$5:$F$12,0))</f>
        <v>East</v>
      </c>
      <c r="H129" s="14" t="str">
        <f aca="false">INDEX(Lists!$B$5:$B$12,MATCH(D129,Lists!$A$5:$A$12,0))</f>
        <v>Accessories</v>
      </c>
      <c r="I129" s="32" t="n">
        <f aca="false">INDEX(Lists!$C$5:$C$12,MATCH(D129,Lists!$A$5:$A$12,0))</f>
        <v>80</v>
      </c>
      <c r="J129" s="32" t="n">
        <f aca="false">INDEX(Lists!$D$5:$D$12,MATCH(D129,Lists!$A$5:$A$12,0))</f>
        <v>38</v>
      </c>
      <c r="K129" s="32" t="n">
        <f aca="false">E129*I129*(1-F129)</f>
        <v>76</v>
      </c>
      <c r="L129" s="32" t="n">
        <f aca="false">E129*J129</f>
        <v>38</v>
      </c>
      <c r="M129" s="32" t="n">
        <f aca="false">K129-L129</f>
        <v>38</v>
      </c>
      <c r="N129" s="33" t="n">
        <f aca="false">DATE(YEAR(B129),MONTH(B129),1)</f>
        <v>46023</v>
      </c>
    </row>
    <row r="130" customFormat="false" ht="15" hidden="false" customHeight="false" outlineLevel="0" collapsed="false">
      <c r="A130" s="29" t="s">
        <v>204</v>
      </c>
      <c r="B130" s="30" t="n">
        <v>46039</v>
      </c>
      <c r="C130" s="29" t="s">
        <v>83</v>
      </c>
      <c r="D130" s="29" t="s">
        <v>80</v>
      </c>
      <c r="E130" s="29" t="n">
        <v>4</v>
      </c>
      <c r="F130" s="31" t="n">
        <v>0.15</v>
      </c>
      <c r="G130" s="14" t="str">
        <f aca="false">INDEX(Lists!$G$5:$G$12,MATCH(C130,Lists!$F$5:$F$12,0))</f>
        <v>West</v>
      </c>
      <c r="H130" s="14" t="str">
        <f aca="false">INDEX(Lists!$B$5:$B$12,MATCH(D130,Lists!$A$5:$A$12,0))</f>
        <v>Computers</v>
      </c>
      <c r="I130" s="32" t="n">
        <f aca="false">INDEX(Lists!$C$5:$C$12,MATCH(D130,Lists!$A$5:$A$12,0))</f>
        <v>2400</v>
      </c>
      <c r="J130" s="32" t="n">
        <f aca="false">INDEX(Lists!$D$5:$D$12,MATCH(D130,Lists!$A$5:$A$12,0))</f>
        <v>1650</v>
      </c>
      <c r="K130" s="32" t="n">
        <f aca="false">E130*I130*(1-F130)</f>
        <v>8160</v>
      </c>
      <c r="L130" s="32" t="n">
        <f aca="false">E130*J130</f>
        <v>6600</v>
      </c>
      <c r="M130" s="32" t="n">
        <f aca="false">K130-L130</f>
        <v>1560</v>
      </c>
      <c r="N130" s="33" t="n">
        <f aca="false">DATE(YEAR(B130),MONTH(B130),1)</f>
        <v>46023</v>
      </c>
    </row>
    <row r="131" customFormat="false" ht="15" hidden="false" customHeight="false" outlineLevel="0" collapsed="false">
      <c r="A131" s="29" t="s">
        <v>205</v>
      </c>
      <c r="B131" s="30" t="n">
        <v>46040</v>
      </c>
      <c r="C131" s="29" t="s">
        <v>88</v>
      </c>
      <c r="D131" s="29" t="s">
        <v>67</v>
      </c>
      <c r="E131" s="29" t="n">
        <v>15</v>
      </c>
      <c r="F131" s="31" t="n">
        <v>0.05</v>
      </c>
      <c r="G131" s="14" t="str">
        <f aca="false">INDEX(Lists!$G$5:$G$12,MATCH(C131,Lists!$F$5:$F$12,0))</f>
        <v>North</v>
      </c>
      <c r="H131" s="14" t="str">
        <f aca="false">INDEX(Lists!$B$5:$B$12,MATCH(D131,Lists!$A$5:$A$12,0))</f>
        <v>Accessories</v>
      </c>
      <c r="I131" s="32" t="n">
        <f aca="false">INDEX(Lists!$C$5:$C$12,MATCH(D131,Lists!$A$5:$A$12,0))</f>
        <v>120</v>
      </c>
      <c r="J131" s="32" t="n">
        <f aca="false">INDEX(Lists!$D$5:$D$12,MATCH(D131,Lists!$A$5:$A$12,0))</f>
        <v>62</v>
      </c>
      <c r="K131" s="32" t="n">
        <f aca="false">E131*I131*(1-F131)</f>
        <v>1710</v>
      </c>
      <c r="L131" s="32" t="n">
        <f aca="false">E131*J131</f>
        <v>930</v>
      </c>
      <c r="M131" s="32" t="n">
        <f aca="false">K131-L131</f>
        <v>780</v>
      </c>
      <c r="N131" s="33" t="n">
        <f aca="false">DATE(YEAR(B131),MONTH(B131),1)</f>
        <v>46023</v>
      </c>
    </row>
    <row r="132" customFormat="false" ht="15" hidden="false" customHeight="false" outlineLevel="0" collapsed="false">
      <c r="A132" s="29" t="s">
        <v>206</v>
      </c>
      <c r="B132" s="30" t="n">
        <v>46042</v>
      </c>
      <c r="C132" s="29" t="s">
        <v>88</v>
      </c>
      <c r="D132" s="29" t="s">
        <v>62</v>
      </c>
      <c r="E132" s="29" t="n">
        <v>2</v>
      </c>
      <c r="F132" s="31" t="n">
        <v>0</v>
      </c>
      <c r="G132" s="14" t="str">
        <f aca="false">INDEX(Lists!$G$5:$G$12,MATCH(C132,Lists!$F$5:$F$12,0))</f>
        <v>North</v>
      </c>
      <c r="H132" s="14" t="str">
        <f aca="false">INDEX(Lists!$B$5:$B$12,MATCH(D132,Lists!$A$5:$A$12,0))</f>
        <v>Computers</v>
      </c>
      <c r="I132" s="32" t="n">
        <f aca="false">INDEX(Lists!$C$5:$C$12,MATCH(D132,Lists!$A$5:$A$12,0))</f>
        <v>1600</v>
      </c>
      <c r="J132" s="32" t="n">
        <f aca="false">INDEX(Lists!$D$5:$D$12,MATCH(D132,Lists!$A$5:$A$12,0))</f>
        <v>1100</v>
      </c>
      <c r="K132" s="32" t="n">
        <f aca="false">E132*I132*(1-F132)</f>
        <v>3200</v>
      </c>
      <c r="L132" s="32" t="n">
        <f aca="false">E132*J132</f>
        <v>2200</v>
      </c>
      <c r="M132" s="32" t="n">
        <f aca="false">K132-L132</f>
        <v>1000</v>
      </c>
      <c r="N132" s="33" t="n">
        <f aca="false">DATE(YEAR(B132),MONTH(B132),1)</f>
        <v>46023</v>
      </c>
    </row>
    <row r="133" customFormat="false" ht="15" hidden="false" customHeight="false" outlineLevel="0" collapsed="false">
      <c r="A133" s="29" t="s">
        <v>207</v>
      </c>
      <c r="B133" s="30" t="n">
        <v>46044</v>
      </c>
      <c r="C133" s="29" t="s">
        <v>69</v>
      </c>
      <c r="D133" s="29" t="s">
        <v>80</v>
      </c>
      <c r="E133" s="29" t="n">
        <v>3</v>
      </c>
      <c r="F133" s="31" t="n">
        <v>0.05</v>
      </c>
      <c r="G133" s="14" t="str">
        <f aca="false">INDEX(Lists!$G$5:$G$12,MATCH(C133,Lists!$F$5:$F$12,0))</f>
        <v>East</v>
      </c>
      <c r="H133" s="14" t="str">
        <f aca="false">INDEX(Lists!$B$5:$B$12,MATCH(D133,Lists!$A$5:$A$12,0))</f>
        <v>Computers</v>
      </c>
      <c r="I133" s="32" t="n">
        <f aca="false">INDEX(Lists!$C$5:$C$12,MATCH(D133,Lists!$A$5:$A$12,0))</f>
        <v>2400</v>
      </c>
      <c r="J133" s="32" t="n">
        <f aca="false">INDEX(Lists!$D$5:$D$12,MATCH(D133,Lists!$A$5:$A$12,0))</f>
        <v>1650</v>
      </c>
      <c r="K133" s="32" t="n">
        <f aca="false">E133*I133*(1-F133)</f>
        <v>6840</v>
      </c>
      <c r="L133" s="32" t="n">
        <f aca="false">E133*J133</f>
        <v>4950</v>
      </c>
      <c r="M133" s="32" t="n">
        <f aca="false">K133-L133</f>
        <v>1890</v>
      </c>
      <c r="N133" s="33" t="n">
        <f aca="false">DATE(YEAR(B133),MONTH(B133),1)</f>
        <v>46023</v>
      </c>
    </row>
    <row r="134" customFormat="false" ht="15" hidden="false" customHeight="false" outlineLevel="0" collapsed="false">
      <c r="A134" s="29" t="s">
        <v>208</v>
      </c>
      <c r="B134" s="30" t="n">
        <v>46044</v>
      </c>
      <c r="C134" s="29" t="s">
        <v>69</v>
      </c>
      <c r="D134" s="29" t="s">
        <v>65</v>
      </c>
      <c r="E134" s="29" t="n">
        <v>7</v>
      </c>
      <c r="F134" s="31" t="n">
        <v>0.05</v>
      </c>
      <c r="G134" s="14" t="str">
        <f aca="false">INDEX(Lists!$G$5:$G$12,MATCH(C134,Lists!$F$5:$F$12,0))</f>
        <v>East</v>
      </c>
      <c r="H134" s="14" t="str">
        <f aca="false">INDEX(Lists!$B$5:$B$12,MATCH(D134,Lists!$A$5:$A$12,0))</f>
        <v>Accessories</v>
      </c>
      <c r="I134" s="32" t="n">
        <f aca="false">INDEX(Lists!$C$5:$C$12,MATCH(D134,Lists!$A$5:$A$12,0))</f>
        <v>260</v>
      </c>
      <c r="J134" s="32" t="n">
        <f aca="false">INDEX(Lists!$D$5:$D$12,MATCH(D134,Lists!$A$5:$A$12,0))</f>
        <v>150</v>
      </c>
      <c r="K134" s="32" t="n">
        <f aca="false">E134*I134*(1-F134)</f>
        <v>1729</v>
      </c>
      <c r="L134" s="32" t="n">
        <f aca="false">E134*J134</f>
        <v>1050</v>
      </c>
      <c r="M134" s="32" t="n">
        <f aca="false">K134-L134</f>
        <v>679</v>
      </c>
      <c r="N134" s="33" t="n">
        <f aca="false">DATE(YEAR(B134),MONTH(B134),1)</f>
        <v>46023</v>
      </c>
    </row>
    <row r="135" customFormat="false" ht="15" hidden="false" customHeight="false" outlineLevel="0" collapsed="false">
      <c r="A135" s="29" t="s">
        <v>209</v>
      </c>
      <c r="B135" s="30" t="n">
        <v>46045</v>
      </c>
      <c r="C135" s="29" t="s">
        <v>88</v>
      </c>
      <c r="D135" s="29" t="s">
        <v>62</v>
      </c>
      <c r="E135" s="29" t="n">
        <v>2</v>
      </c>
      <c r="F135" s="31" t="n">
        <v>0.15</v>
      </c>
      <c r="G135" s="14" t="str">
        <f aca="false">INDEX(Lists!$G$5:$G$12,MATCH(C135,Lists!$F$5:$F$12,0))</f>
        <v>North</v>
      </c>
      <c r="H135" s="14" t="str">
        <f aca="false">INDEX(Lists!$B$5:$B$12,MATCH(D135,Lists!$A$5:$A$12,0))</f>
        <v>Computers</v>
      </c>
      <c r="I135" s="32" t="n">
        <f aca="false">INDEX(Lists!$C$5:$C$12,MATCH(D135,Lists!$A$5:$A$12,0))</f>
        <v>1600</v>
      </c>
      <c r="J135" s="32" t="n">
        <f aca="false">INDEX(Lists!$D$5:$D$12,MATCH(D135,Lists!$A$5:$A$12,0))</f>
        <v>1100</v>
      </c>
      <c r="K135" s="32" t="n">
        <f aca="false">E135*I135*(1-F135)</f>
        <v>2720</v>
      </c>
      <c r="L135" s="32" t="n">
        <f aca="false">E135*J135</f>
        <v>2200</v>
      </c>
      <c r="M135" s="32" t="n">
        <f aca="false">K135-L135</f>
        <v>520</v>
      </c>
      <c r="N135" s="33" t="n">
        <f aca="false">DATE(YEAR(B135),MONTH(B135),1)</f>
        <v>46023</v>
      </c>
    </row>
    <row r="136" customFormat="false" ht="15" hidden="false" customHeight="false" outlineLevel="0" collapsed="false">
      <c r="A136" s="29" t="s">
        <v>210</v>
      </c>
      <c r="B136" s="30" t="n">
        <v>46047</v>
      </c>
      <c r="C136" s="29" t="s">
        <v>61</v>
      </c>
      <c r="D136" s="29" t="s">
        <v>67</v>
      </c>
      <c r="E136" s="29" t="n">
        <v>11</v>
      </c>
      <c r="F136" s="31" t="n">
        <v>0.05</v>
      </c>
      <c r="G136" s="14" t="str">
        <f aca="false">INDEX(Lists!$G$5:$G$12,MATCH(C136,Lists!$F$5:$F$12,0))</f>
        <v>South</v>
      </c>
      <c r="H136" s="14" t="str">
        <f aca="false">INDEX(Lists!$B$5:$B$12,MATCH(D136,Lists!$A$5:$A$12,0))</f>
        <v>Accessories</v>
      </c>
      <c r="I136" s="32" t="n">
        <f aca="false">INDEX(Lists!$C$5:$C$12,MATCH(D136,Lists!$A$5:$A$12,0))</f>
        <v>120</v>
      </c>
      <c r="J136" s="32" t="n">
        <f aca="false">INDEX(Lists!$D$5:$D$12,MATCH(D136,Lists!$A$5:$A$12,0))</f>
        <v>62</v>
      </c>
      <c r="K136" s="32" t="n">
        <f aca="false">E136*I136*(1-F136)</f>
        <v>1254</v>
      </c>
      <c r="L136" s="32" t="n">
        <f aca="false">E136*J136</f>
        <v>682</v>
      </c>
      <c r="M136" s="32" t="n">
        <f aca="false">K136-L136</f>
        <v>572</v>
      </c>
      <c r="N136" s="33" t="n">
        <f aca="false">DATE(YEAR(B136),MONTH(B136),1)</f>
        <v>46023</v>
      </c>
    </row>
    <row r="137" customFormat="false" ht="15" hidden="false" customHeight="false" outlineLevel="0" collapsed="false">
      <c r="A137" s="29" t="s">
        <v>211</v>
      </c>
      <c r="B137" s="30" t="n">
        <v>46047</v>
      </c>
      <c r="C137" s="29" t="s">
        <v>93</v>
      </c>
      <c r="D137" s="29" t="s">
        <v>91</v>
      </c>
      <c r="E137" s="29" t="n">
        <v>4</v>
      </c>
      <c r="F137" s="31" t="n">
        <v>0.05</v>
      </c>
      <c r="G137" s="14" t="str">
        <f aca="false">INDEX(Lists!$G$5:$G$12,MATCH(C137,Lists!$F$5:$F$12,0))</f>
        <v>West</v>
      </c>
      <c r="H137" s="14" t="str">
        <f aca="false">INDEX(Lists!$B$5:$B$12,MATCH(D137,Lists!$A$5:$A$12,0))</f>
        <v>Audio</v>
      </c>
      <c r="I137" s="32" t="n">
        <f aca="false">INDEX(Lists!$C$5:$C$12,MATCH(D137,Lists!$A$5:$A$12,0))</f>
        <v>190</v>
      </c>
      <c r="J137" s="32" t="n">
        <f aca="false">INDEX(Lists!$D$5:$D$12,MATCH(D137,Lists!$A$5:$A$12,0))</f>
        <v>105</v>
      </c>
      <c r="K137" s="32" t="n">
        <f aca="false">E137*I137*(1-F137)</f>
        <v>722</v>
      </c>
      <c r="L137" s="32" t="n">
        <f aca="false">E137*J137</f>
        <v>420</v>
      </c>
      <c r="M137" s="32" t="n">
        <f aca="false">K137-L137</f>
        <v>302</v>
      </c>
      <c r="N137" s="33" t="n">
        <f aca="false">DATE(YEAR(B137),MONTH(B137),1)</f>
        <v>46023</v>
      </c>
    </row>
    <row r="138" customFormat="false" ht="15" hidden="false" customHeight="false" outlineLevel="0" collapsed="false">
      <c r="A138" s="29" t="s">
        <v>212</v>
      </c>
      <c r="B138" s="30" t="n">
        <v>46048</v>
      </c>
      <c r="C138" s="29" t="s">
        <v>64</v>
      </c>
      <c r="D138" s="29" t="s">
        <v>65</v>
      </c>
      <c r="E138" s="29" t="n">
        <v>5</v>
      </c>
      <c r="F138" s="31" t="n">
        <v>0.1</v>
      </c>
      <c r="G138" s="14" t="str">
        <f aca="false">INDEX(Lists!$G$5:$G$12,MATCH(C138,Lists!$F$5:$F$12,0))</f>
        <v>East</v>
      </c>
      <c r="H138" s="14" t="str">
        <f aca="false">INDEX(Lists!$B$5:$B$12,MATCH(D138,Lists!$A$5:$A$12,0))</f>
        <v>Accessories</v>
      </c>
      <c r="I138" s="32" t="n">
        <f aca="false">INDEX(Lists!$C$5:$C$12,MATCH(D138,Lists!$A$5:$A$12,0))</f>
        <v>260</v>
      </c>
      <c r="J138" s="32" t="n">
        <f aca="false">INDEX(Lists!$D$5:$D$12,MATCH(D138,Lists!$A$5:$A$12,0))</f>
        <v>150</v>
      </c>
      <c r="K138" s="32" t="n">
        <f aca="false">E138*I138*(1-F138)</f>
        <v>1170</v>
      </c>
      <c r="L138" s="32" t="n">
        <f aca="false">E138*J138</f>
        <v>750</v>
      </c>
      <c r="M138" s="32" t="n">
        <f aca="false">K138-L138</f>
        <v>420</v>
      </c>
      <c r="N138" s="33" t="n">
        <f aca="false">DATE(YEAR(B138),MONTH(B138),1)</f>
        <v>46023</v>
      </c>
    </row>
    <row r="139" customFormat="false" ht="15" hidden="false" customHeight="false" outlineLevel="0" collapsed="false">
      <c r="A139" s="29" t="s">
        <v>213</v>
      </c>
      <c r="B139" s="30" t="n">
        <v>46049</v>
      </c>
      <c r="C139" s="29" t="s">
        <v>74</v>
      </c>
      <c r="D139" s="29" t="s">
        <v>65</v>
      </c>
      <c r="E139" s="29" t="n">
        <v>8</v>
      </c>
      <c r="F139" s="31" t="n">
        <v>0.1</v>
      </c>
      <c r="G139" s="14" t="str">
        <f aca="false">INDEX(Lists!$G$5:$G$12,MATCH(C139,Lists!$F$5:$F$12,0))</f>
        <v>South</v>
      </c>
      <c r="H139" s="14" t="str">
        <f aca="false">INDEX(Lists!$B$5:$B$12,MATCH(D139,Lists!$A$5:$A$12,0))</f>
        <v>Accessories</v>
      </c>
      <c r="I139" s="32" t="n">
        <f aca="false">INDEX(Lists!$C$5:$C$12,MATCH(D139,Lists!$A$5:$A$12,0))</f>
        <v>260</v>
      </c>
      <c r="J139" s="32" t="n">
        <f aca="false">INDEX(Lists!$D$5:$D$12,MATCH(D139,Lists!$A$5:$A$12,0))</f>
        <v>150</v>
      </c>
      <c r="K139" s="32" t="n">
        <f aca="false">E139*I139*(1-F139)</f>
        <v>1872</v>
      </c>
      <c r="L139" s="32" t="n">
        <f aca="false">E139*J139</f>
        <v>1200</v>
      </c>
      <c r="M139" s="32" t="n">
        <f aca="false">K139-L139</f>
        <v>672</v>
      </c>
      <c r="N139" s="33" t="n">
        <f aca="false">DATE(YEAR(B139),MONTH(B139),1)</f>
        <v>46023</v>
      </c>
    </row>
    <row r="140" customFormat="false" ht="15" hidden="false" customHeight="false" outlineLevel="0" collapsed="false">
      <c r="A140" s="29" t="s">
        <v>214</v>
      </c>
      <c r="B140" s="30" t="n">
        <v>46053</v>
      </c>
      <c r="C140" s="29" t="s">
        <v>88</v>
      </c>
      <c r="D140" s="29" t="s">
        <v>80</v>
      </c>
      <c r="E140" s="29" t="n">
        <v>4</v>
      </c>
      <c r="F140" s="31" t="n">
        <v>0</v>
      </c>
      <c r="G140" s="14" t="str">
        <f aca="false">INDEX(Lists!$G$5:$G$12,MATCH(C140,Lists!$F$5:$F$12,0))</f>
        <v>North</v>
      </c>
      <c r="H140" s="14" t="str">
        <f aca="false">INDEX(Lists!$B$5:$B$12,MATCH(D140,Lists!$A$5:$A$12,0))</f>
        <v>Computers</v>
      </c>
      <c r="I140" s="32" t="n">
        <f aca="false">INDEX(Lists!$C$5:$C$12,MATCH(D140,Lists!$A$5:$A$12,0))</f>
        <v>2400</v>
      </c>
      <c r="J140" s="32" t="n">
        <f aca="false">INDEX(Lists!$D$5:$D$12,MATCH(D140,Lists!$A$5:$A$12,0))</f>
        <v>1650</v>
      </c>
      <c r="K140" s="32" t="n">
        <f aca="false">E140*I140*(1-F140)</f>
        <v>9600</v>
      </c>
      <c r="L140" s="32" t="n">
        <f aca="false">E140*J140</f>
        <v>6600</v>
      </c>
      <c r="M140" s="32" t="n">
        <f aca="false">K140-L140</f>
        <v>3000</v>
      </c>
      <c r="N140" s="33" t="n">
        <f aca="false">DATE(YEAR(B140),MONTH(B140),1)</f>
        <v>46023</v>
      </c>
    </row>
    <row r="141" customFormat="false" ht="15" hidden="false" customHeight="false" outlineLevel="0" collapsed="false">
      <c r="A141" s="29" t="s">
        <v>215</v>
      </c>
      <c r="B141" s="30" t="n">
        <v>46054</v>
      </c>
      <c r="C141" s="29" t="s">
        <v>64</v>
      </c>
      <c r="D141" s="29" t="s">
        <v>62</v>
      </c>
      <c r="E141" s="29" t="n">
        <v>2</v>
      </c>
      <c r="F141" s="31" t="n">
        <v>0.15</v>
      </c>
      <c r="G141" s="14" t="str">
        <f aca="false">INDEX(Lists!$G$5:$G$12,MATCH(C141,Lists!$F$5:$F$12,0))</f>
        <v>East</v>
      </c>
      <c r="H141" s="14" t="str">
        <f aca="false">INDEX(Lists!$B$5:$B$12,MATCH(D141,Lists!$A$5:$A$12,0))</f>
        <v>Computers</v>
      </c>
      <c r="I141" s="32" t="n">
        <f aca="false">INDEX(Lists!$C$5:$C$12,MATCH(D141,Lists!$A$5:$A$12,0))</f>
        <v>1600</v>
      </c>
      <c r="J141" s="32" t="n">
        <f aca="false">INDEX(Lists!$D$5:$D$12,MATCH(D141,Lists!$A$5:$A$12,0))</f>
        <v>1100</v>
      </c>
      <c r="K141" s="32" t="n">
        <f aca="false">E141*I141*(1-F141)</f>
        <v>2720</v>
      </c>
      <c r="L141" s="32" t="n">
        <f aca="false">E141*J141</f>
        <v>2200</v>
      </c>
      <c r="M141" s="32" t="n">
        <f aca="false">K141-L141</f>
        <v>520</v>
      </c>
      <c r="N141" s="33" t="n">
        <f aca="false">DATE(YEAR(B141),MONTH(B141),1)</f>
        <v>46054</v>
      </c>
    </row>
    <row r="142" customFormat="false" ht="15" hidden="false" customHeight="false" outlineLevel="0" collapsed="false">
      <c r="A142" s="29" t="s">
        <v>216</v>
      </c>
      <c r="B142" s="30" t="n">
        <v>46056</v>
      </c>
      <c r="C142" s="29" t="s">
        <v>64</v>
      </c>
      <c r="D142" s="29" t="s">
        <v>67</v>
      </c>
      <c r="E142" s="29" t="n">
        <v>4</v>
      </c>
      <c r="F142" s="31" t="n">
        <v>0.1</v>
      </c>
      <c r="G142" s="14" t="str">
        <f aca="false">INDEX(Lists!$G$5:$G$12,MATCH(C142,Lists!$F$5:$F$12,0))</f>
        <v>East</v>
      </c>
      <c r="H142" s="14" t="str">
        <f aca="false">INDEX(Lists!$B$5:$B$12,MATCH(D142,Lists!$A$5:$A$12,0))</f>
        <v>Accessories</v>
      </c>
      <c r="I142" s="32" t="n">
        <f aca="false">INDEX(Lists!$C$5:$C$12,MATCH(D142,Lists!$A$5:$A$12,0))</f>
        <v>120</v>
      </c>
      <c r="J142" s="32" t="n">
        <f aca="false">INDEX(Lists!$D$5:$D$12,MATCH(D142,Lists!$A$5:$A$12,0))</f>
        <v>62</v>
      </c>
      <c r="K142" s="32" t="n">
        <f aca="false">E142*I142*(1-F142)</f>
        <v>432</v>
      </c>
      <c r="L142" s="32" t="n">
        <f aca="false">E142*J142</f>
        <v>248</v>
      </c>
      <c r="M142" s="32" t="n">
        <f aca="false">K142-L142</f>
        <v>184</v>
      </c>
      <c r="N142" s="33" t="n">
        <f aca="false">DATE(YEAR(B142),MONTH(B142),1)</f>
        <v>46054</v>
      </c>
    </row>
    <row r="143" customFormat="false" ht="15" hidden="false" customHeight="false" outlineLevel="0" collapsed="false">
      <c r="A143" s="29" t="s">
        <v>217</v>
      </c>
      <c r="B143" s="30" t="n">
        <v>46058</v>
      </c>
      <c r="C143" s="29" t="s">
        <v>93</v>
      </c>
      <c r="D143" s="29" t="s">
        <v>67</v>
      </c>
      <c r="E143" s="29" t="n">
        <v>2</v>
      </c>
      <c r="F143" s="31" t="n">
        <v>0.15</v>
      </c>
      <c r="G143" s="14" t="str">
        <f aca="false">INDEX(Lists!$G$5:$G$12,MATCH(C143,Lists!$F$5:$F$12,0))</f>
        <v>West</v>
      </c>
      <c r="H143" s="14" t="str">
        <f aca="false">INDEX(Lists!$B$5:$B$12,MATCH(D143,Lists!$A$5:$A$12,0))</f>
        <v>Accessories</v>
      </c>
      <c r="I143" s="32" t="n">
        <f aca="false">INDEX(Lists!$C$5:$C$12,MATCH(D143,Lists!$A$5:$A$12,0))</f>
        <v>120</v>
      </c>
      <c r="J143" s="32" t="n">
        <f aca="false">INDEX(Lists!$D$5:$D$12,MATCH(D143,Lists!$A$5:$A$12,0))</f>
        <v>62</v>
      </c>
      <c r="K143" s="32" t="n">
        <f aca="false">E143*I143*(1-F143)</f>
        <v>204</v>
      </c>
      <c r="L143" s="32" t="n">
        <f aca="false">E143*J143</f>
        <v>124</v>
      </c>
      <c r="M143" s="32" t="n">
        <f aca="false">K143-L143</f>
        <v>80</v>
      </c>
      <c r="N143" s="33" t="n">
        <f aca="false">DATE(YEAR(B143),MONTH(B143),1)</f>
        <v>46054</v>
      </c>
    </row>
    <row r="144" customFormat="false" ht="15" hidden="false" customHeight="false" outlineLevel="0" collapsed="false">
      <c r="A144" s="29" t="s">
        <v>218</v>
      </c>
      <c r="B144" s="30" t="n">
        <v>46059</v>
      </c>
      <c r="C144" s="29" t="s">
        <v>69</v>
      </c>
      <c r="D144" s="29" t="s">
        <v>75</v>
      </c>
      <c r="E144" s="29" t="n">
        <v>4</v>
      </c>
      <c r="F144" s="31" t="n">
        <v>0</v>
      </c>
      <c r="G144" s="14" t="str">
        <f aca="false">INDEX(Lists!$G$5:$G$12,MATCH(C144,Lists!$F$5:$F$12,0))</f>
        <v>East</v>
      </c>
      <c r="H144" s="14" t="str">
        <f aca="false">INDEX(Lists!$B$5:$B$12,MATCH(D144,Lists!$A$5:$A$12,0))</f>
        <v>Audio</v>
      </c>
      <c r="I144" s="32" t="n">
        <f aca="false">INDEX(Lists!$C$5:$C$12,MATCH(D144,Lists!$A$5:$A$12,0))</f>
        <v>140</v>
      </c>
      <c r="J144" s="32" t="n">
        <f aca="false">INDEX(Lists!$D$5:$D$12,MATCH(D144,Lists!$A$5:$A$12,0))</f>
        <v>70</v>
      </c>
      <c r="K144" s="32" t="n">
        <f aca="false">E144*I144*(1-F144)</f>
        <v>560</v>
      </c>
      <c r="L144" s="32" t="n">
        <f aca="false">E144*J144</f>
        <v>280</v>
      </c>
      <c r="M144" s="32" t="n">
        <f aca="false">K144-L144</f>
        <v>280</v>
      </c>
      <c r="N144" s="33" t="n">
        <f aca="false">DATE(YEAR(B144),MONTH(B144),1)</f>
        <v>46054</v>
      </c>
    </row>
    <row r="145" customFormat="false" ht="15" hidden="false" customHeight="false" outlineLevel="0" collapsed="false">
      <c r="A145" s="29" t="s">
        <v>219</v>
      </c>
      <c r="B145" s="30" t="n">
        <v>46062</v>
      </c>
      <c r="C145" s="29" t="s">
        <v>61</v>
      </c>
      <c r="D145" s="29" t="s">
        <v>67</v>
      </c>
      <c r="E145" s="29" t="n">
        <v>16</v>
      </c>
      <c r="F145" s="31" t="n">
        <v>0</v>
      </c>
      <c r="G145" s="14" t="str">
        <f aca="false">INDEX(Lists!$G$5:$G$12,MATCH(C145,Lists!$F$5:$F$12,0))</f>
        <v>South</v>
      </c>
      <c r="H145" s="14" t="str">
        <f aca="false">INDEX(Lists!$B$5:$B$12,MATCH(D145,Lists!$A$5:$A$12,0))</f>
        <v>Accessories</v>
      </c>
      <c r="I145" s="32" t="n">
        <f aca="false">INDEX(Lists!$C$5:$C$12,MATCH(D145,Lists!$A$5:$A$12,0))</f>
        <v>120</v>
      </c>
      <c r="J145" s="32" t="n">
        <f aca="false">INDEX(Lists!$D$5:$D$12,MATCH(D145,Lists!$A$5:$A$12,0))</f>
        <v>62</v>
      </c>
      <c r="K145" s="32" t="n">
        <f aca="false">E145*I145*(1-F145)</f>
        <v>1920</v>
      </c>
      <c r="L145" s="32" t="n">
        <f aca="false">E145*J145</f>
        <v>992</v>
      </c>
      <c r="M145" s="32" t="n">
        <f aca="false">K145-L145</f>
        <v>928</v>
      </c>
      <c r="N145" s="33" t="n">
        <f aca="false">DATE(YEAR(B145),MONTH(B145),1)</f>
        <v>46054</v>
      </c>
    </row>
    <row r="146" customFormat="false" ht="15" hidden="false" customHeight="false" outlineLevel="0" collapsed="false">
      <c r="A146" s="29" t="s">
        <v>220</v>
      </c>
      <c r="B146" s="30" t="n">
        <v>46062</v>
      </c>
      <c r="C146" s="29" t="s">
        <v>88</v>
      </c>
      <c r="D146" s="29" t="s">
        <v>70</v>
      </c>
      <c r="E146" s="29" t="n">
        <v>6</v>
      </c>
      <c r="F146" s="31" t="n">
        <v>0</v>
      </c>
      <c r="G146" s="14" t="str">
        <f aca="false">INDEX(Lists!$G$5:$G$12,MATCH(C146,Lists!$F$5:$F$12,0))</f>
        <v>North</v>
      </c>
      <c r="H146" s="14" t="str">
        <f aca="false">INDEX(Lists!$B$5:$B$12,MATCH(D146,Lists!$A$5:$A$12,0))</f>
        <v>Displays</v>
      </c>
      <c r="I146" s="32" t="n">
        <f aca="false">INDEX(Lists!$C$5:$C$12,MATCH(D146,Lists!$A$5:$A$12,0))</f>
        <v>520</v>
      </c>
      <c r="J146" s="32" t="n">
        <f aca="false">INDEX(Lists!$D$5:$D$12,MATCH(D146,Lists!$A$5:$A$12,0))</f>
        <v>340</v>
      </c>
      <c r="K146" s="32" t="n">
        <f aca="false">E146*I146*(1-F146)</f>
        <v>3120</v>
      </c>
      <c r="L146" s="32" t="n">
        <f aca="false">E146*J146</f>
        <v>2040</v>
      </c>
      <c r="M146" s="32" t="n">
        <f aca="false">K146-L146</f>
        <v>1080</v>
      </c>
      <c r="N146" s="33" t="n">
        <f aca="false">DATE(YEAR(B146),MONTH(B146),1)</f>
        <v>46054</v>
      </c>
    </row>
    <row r="147" customFormat="false" ht="15" hidden="false" customHeight="false" outlineLevel="0" collapsed="false">
      <c r="A147" s="29" t="s">
        <v>221</v>
      </c>
      <c r="B147" s="30" t="n">
        <v>46068</v>
      </c>
      <c r="C147" s="29" t="s">
        <v>69</v>
      </c>
      <c r="D147" s="29" t="s">
        <v>62</v>
      </c>
      <c r="E147" s="29" t="n">
        <v>2</v>
      </c>
      <c r="F147" s="31" t="n">
        <v>0.05</v>
      </c>
      <c r="G147" s="14" t="str">
        <f aca="false">INDEX(Lists!$G$5:$G$12,MATCH(C147,Lists!$F$5:$F$12,0))</f>
        <v>East</v>
      </c>
      <c r="H147" s="14" t="str">
        <f aca="false">INDEX(Lists!$B$5:$B$12,MATCH(D147,Lists!$A$5:$A$12,0))</f>
        <v>Computers</v>
      </c>
      <c r="I147" s="32" t="n">
        <f aca="false">INDEX(Lists!$C$5:$C$12,MATCH(D147,Lists!$A$5:$A$12,0))</f>
        <v>1600</v>
      </c>
      <c r="J147" s="32" t="n">
        <f aca="false">INDEX(Lists!$D$5:$D$12,MATCH(D147,Lists!$A$5:$A$12,0))</f>
        <v>1100</v>
      </c>
      <c r="K147" s="32" t="n">
        <f aca="false">E147*I147*(1-F147)</f>
        <v>3040</v>
      </c>
      <c r="L147" s="32" t="n">
        <f aca="false">E147*J147</f>
        <v>2200</v>
      </c>
      <c r="M147" s="32" t="n">
        <f aca="false">K147-L147</f>
        <v>840</v>
      </c>
      <c r="N147" s="33" t="n">
        <f aca="false">DATE(YEAR(B147),MONTH(B147),1)</f>
        <v>46054</v>
      </c>
    </row>
    <row r="148" customFormat="false" ht="15" hidden="false" customHeight="false" outlineLevel="0" collapsed="false">
      <c r="A148" s="29" t="s">
        <v>222</v>
      </c>
      <c r="B148" s="30" t="n">
        <v>46070</v>
      </c>
      <c r="C148" s="29" t="s">
        <v>86</v>
      </c>
      <c r="D148" s="29" t="s">
        <v>91</v>
      </c>
      <c r="E148" s="29" t="n">
        <v>9</v>
      </c>
      <c r="F148" s="31" t="n">
        <v>0.05</v>
      </c>
      <c r="G148" s="14" t="str">
        <f aca="false">INDEX(Lists!$G$5:$G$12,MATCH(C148,Lists!$F$5:$F$12,0))</f>
        <v>North</v>
      </c>
      <c r="H148" s="14" t="str">
        <f aca="false">INDEX(Lists!$B$5:$B$12,MATCH(D148,Lists!$A$5:$A$12,0))</f>
        <v>Audio</v>
      </c>
      <c r="I148" s="32" t="n">
        <f aca="false">INDEX(Lists!$C$5:$C$12,MATCH(D148,Lists!$A$5:$A$12,0))</f>
        <v>190</v>
      </c>
      <c r="J148" s="32" t="n">
        <f aca="false">INDEX(Lists!$D$5:$D$12,MATCH(D148,Lists!$A$5:$A$12,0))</f>
        <v>105</v>
      </c>
      <c r="K148" s="32" t="n">
        <f aca="false">E148*I148*(1-F148)</f>
        <v>1624.5</v>
      </c>
      <c r="L148" s="32" t="n">
        <f aca="false">E148*J148</f>
        <v>945</v>
      </c>
      <c r="M148" s="32" t="n">
        <f aca="false">K148-L148</f>
        <v>679.5</v>
      </c>
      <c r="N148" s="33" t="n">
        <f aca="false">DATE(YEAR(B148),MONTH(B148),1)</f>
        <v>46054</v>
      </c>
    </row>
    <row r="149" customFormat="false" ht="15" hidden="false" customHeight="false" outlineLevel="0" collapsed="false">
      <c r="A149" s="29" t="s">
        <v>223</v>
      </c>
      <c r="B149" s="30" t="n">
        <v>46070</v>
      </c>
      <c r="C149" s="29" t="s">
        <v>69</v>
      </c>
      <c r="D149" s="29" t="s">
        <v>80</v>
      </c>
      <c r="E149" s="29" t="n">
        <v>3</v>
      </c>
      <c r="F149" s="31" t="n">
        <v>0.1</v>
      </c>
      <c r="G149" s="14" t="str">
        <f aca="false">INDEX(Lists!$G$5:$G$12,MATCH(C149,Lists!$F$5:$F$12,0))</f>
        <v>East</v>
      </c>
      <c r="H149" s="14" t="str">
        <f aca="false">INDEX(Lists!$B$5:$B$12,MATCH(D149,Lists!$A$5:$A$12,0))</f>
        <v>Computers</v>
      </c>
      <c r="I149" s="32" t="n">
        <f aca="false">INDEX(Lists!$C$5:$C$12,MATCH(D149,Lists!$A$5:$A$12,0))</f>
        <v>2400</v>
      </c>
      <c r="J149" s="32" t="n">
        <f aca="false">INDEX(Lists!$D$5:$D$12,MATCH(D149,Lists!$A$5:$A$12,0))</f>
        <v>1650</v>
      </c>
      <c r="K149" s="32" t="n">
        <f aca="false">E149*I149*(1-F149)</f>
        <v>6480</v>
      </c>
      <c r="L149" s="32" t="n">
        <f aca="false">E149*J149</f>
        <v>4950</v>
      </c>
      <c r="M149" s="32" t="n">
        <f aca="false">K149-L149</f>
        <v>1530</v>
      </c>
      <c r="N149" s="33" t="n">
        <f aca="false">DATE(YEAR(B149),MONTH(B149),1)</f>
        <v>46054</v>
      </c>
    </row>
    <row r="150" customFormat="false" ht="15" hidden="false" customHeight="false" outlineLevel="0" collapsed="false">
      <c r="A150" s="29" t="s">
        <v>224</v>
      </c>
      <c r="B150" s="30" t="n">
        <v>46071</v>
      </c>
      <c r="C150" s="29" t="s">
        <v>64</v>
      </c>
      <c r="D150" s="29" t="s">
        <v>75</v>
      </c>
      <c r="E150" s="29" t="n">
        <v>6</v>
      </c>
      <c r="F150" s="31" t="n">
        <v>0</v>
      </c>
      <c r="G150" s="14" t="str">
        <f aca="false">INDEX(Lists!$G$5:$G$12,MATCH(C150,Lists!$F$5:$F$12,0))</f>
        <v>East</v>
      </c>
      <c r="H150" s="14" t="str">
        <f aca="false">INDEX(Lists!$B$5:$B$12,MATCH(D150,Lists!$A$5:$A$12,0))</f>
        <v>Audio</v>
      </c>
      <c r="I150" s="32" t="n">
        <f aca="false">INDEX(Lists!$C$5:$C$12,MATCH(D150,Lists!$A$5:$A$12,0))</f>
        <v>140</v>
      </c>
      <c r="J150" s="32" t="n">
        <f aca="false">INDEX(Lists!$D$5:$D$12,MATCH(D150,Lists!$A$5:$A$12,0))</f>
        <v>70</v>
      </c>
      <c r="K150" s="32" t="n">
        <f aca="false">E150*I150*(1-F150)</f>
        <v>840</v>
      </c>
      <c r="L150" s="32" t="n">
        <f aca="false">E150*J150</f>
        <v>420</v>
      </c>
      <c r="M150" s="32" t="n">
        <f aca="false">K150-L150</f>
        <v>420</v>
      </c>
      <c r="N150" s="33" t="n">
        <f aca="false">DATE(YEAR(B150),MONTH(B150),1)</f>
        <v>46054</v>
      </c>
    </row>
    <row r="151" customFormat="false" ht="15" hidden="false" customHeight="false" outlineLevel="0" collapsed="false">
      <c r="A151" s="29" t="s">
        <v>225</v>
      </c>
      <c r="B151" s="30" t="n">
        <v>46072</v>
      </c>
      <c r="C151" s="29" t="s">
        <v>93</v>
      </c>
      <c r="D151" s="29" t="s">
        <v>91</v>
      </c>
      <c r="E151" s="29" t="n">
        <v>5</v>
      </c>
      <c r="F151" s="31" t="n">
        <v>0</v>
      </c>
      <c r="G151" s="14" t="str">
        <f aca="false">INDEX(Lists!$G$5:$G$12,MATCH(C151,Lists!$F$5:$F$12,0))</f>
        <v>West</v>
      </c>
      <c r="H151" s="14" t="str">
        <f aca="false">INDEX(Lists!$B$5:$B$12,MATCH(D151,Lists!$A$5:$A$12,0))</f>
        <v>Audio</v>
      </c>
      <c r="I151" s="32" t="n">
        <f aca="false">INDEX(Lists!$C$5:$C$12,MATCH(D151,Lists!$A$5:$A$12,0))</f>
        <v>190</v>
      </c>
      <c r="J151" s="32" t="n">
        <f aca="false">INDEX(Lists!$D$5:$D$12,MATCH(D151,Lists!$A$5:$A$12,0))</f>
        <v>105</v>
      </c>
      <c r="K151" s="32" t="n">
        <f aca="false">E151*I151*(1-F151)</f>
        <v>950</v>
      </c>
      <c r="L151" s="32" t="n">
        <f aca="false">E151*J151</f>
        <v>525</v>
      </c>
      <c r="M151" s="32" t="n">
        <f aca="false">K151-L151</f>
        <v>425</v>
      </c>
      <c r="N151" s="33" t="n">
        <f aca="false">DATE(YEAR(B151),MONTH(B151),1)</f>
        <v>46054</v>
      </c>
    </row>
    <row r="152" customFormat="false" ht="15" hidden="false" customHeight="false" outlineLevel="0" collapsed="false">
      <c r="A152" s="29" t="s">
        <v>226</v>
      </c>
      <c r="B152" s="30" t="n">
        <v>46072</v>
      </c>
      <c r="C152" s="29" t="s">
        <v>86</v>
      </c>
      <c r="D152" s="29" t="s">
        <v>72</v>
      </c>
      <c r="E152" s="29" t="n">
        <v>17</v>
      </c>
      <c r="F152" s="31" t="n">
        <v>0</v>
      </c>
      <c r="G152" s="14" t="str">
        <f aca="false">INDEX(Lists!$G$5:$G$12,MATCH(C152,Lists!$F$5:$F$12,0))</f>
        <v>North</v>
      </c>
      <c r="H152" s="14" t="str">
        <f aca="false">INDEX(Lists!$B$5:$B$12,MATCH(D152,Lists!$A$5:$A$12,0))</f>
        <v>Accessories</v>
      </c>
      <c r="I152" s="32" t="n">
        <f aca="false">INDEX(Lists!$C$5:$C$12,MATCH(D152,Lists!$A$5:$A$12,0))</f>
        <v>80</v>
      </c>
      <c r="J152" s="32" t="n">
        <f aca="false">INDEX(Lists!$D$5:$D$12,MATCH(D152,Lists!$A$5:$A$12,0))</f>
        <v>38</v>
      </c>
      <c r="K152" s="32" t="n">
        <f aca="false">E152*I152*(1-F152)</f>
        <v>1360</v>
      </c>
      <c r="L152" s="32" t="n">
        <f aca="false">E152*J152</f>
        <v>646</v>
      </c>
      <c r="M152" s="32" t="n">
        <f aca="false">K152-L152</f>
        <v>714</v>
      </c>
      <c r="N152" s="33" t="n">
        <f aca="false">DATE(YEAR(B152),MONTH(B152),1)</f>
        <v>46054</v>
      </c>
    </row>
    <row r="153" customFormat="false" ht="15" hidden="false" customHeight="false" outlineLevel="0" collapsed="false">
      <c r="A153" s="29" t="s">
        <v>227</v>
      </c>
      <c r="B153" s="30" t="n">
        <v>46072</v>
      </c>
      <c r="C153" s="29" t="s">
        <v>93</v>
      </c>
      <c r="D153" s="29" t="s">
        <v>70</v>
      </c>
      <c r="E153" s="29" t="n">
        <v>6</v>
      </c>
      <c r="F153" s="31" t="n">
        <v>0.05</v>
      </c>
      <c r="G153" s="14" t="str">
        <f aca="false">INDEX(Lists!$G$5:$G$12,MATCH(C153,Lists!$F$5:$F$12,0))</f>
        <v>West</v>
      </c>
      <c r="H153" s="14" t="str">
        <f aca="false">INDEX(Lists!$B$5:$B$12,MATCH(D153,Lists!$A$5:$A$12,0))</f>
        <v>Displays</v>
      </c>
      <c r="I153" s="32" t="n">
        <f aca="false">INDEX(Lists!$C$5:$C$12,MATCH(D153,Lists!$A$5:$A$12,0))</f>
        <v>520</v>
      </c>
      <c r="J153" s="32" t="n">
        <f aca="false">INDEX(Lists!$D$5:$D$12,MATCH(D153,Lists!$A$5:$A$12,0))</f>
        <v>340</v>
      </c>
      <c r="K153" s="32" t="n">
        <f aca="false">E153*I153*(1-F153)</f>
        <v>2964</v>
      </c>
      <c r="L153" s="32" t="n">
        <f aca="false">E153*J153</f>
        <v>2040</v>
      </c>
      <c r="M153" s="32" t="n">
        <f aca="false">K153-L153</f>
        <v>924</v>
      </c>
      <c r="N153" s="33" t="n">
        <f aca="false">DATE(YEAR(B153),MONTH(B153),1)</f>
        <v>46054</v>
      </c>
    </row>
    <row r="154" customFormat="false" ht="15" hidden="false" customHeight="false" outlineLevel="0" collapsed="false">
      <c r="A154" s="29" t="s">
        <v>228</v>
      </c>
      <c r="B154" s="30" t="n">
        <v>46073</v>
      </c>
      <c r="C154" s="29" t="s">
        <v>69</v>
      </c>
      <c r="D154" s="29" t="s">
        <v>62</v>
      </c>
      <c r="E154" s="29" t="n">
        <v>3</v>
      </c>
      <c r="F154" s="31" t="n">
        <v>0.1</v>
      </c>
      <c r="G154" s="14" t="str">
        <f aca="false">INDEX(Lists!$G$5:$G$12,MATCH(C154,Lists!$F$5:$F$12,0))</f>
        <v>East</v>
      </c>
      <c r="H154" s="14" t="str">
        <f aca="false">INDEX(Lists!$B$5:$B$12,MATCH(D154,Lists!$A$5:$A$12,0))</f>
        <v>Computers</v>
      </c>
      <c r="I154" s="32" t="n">
        <f aca="false">INDEX(Lists!$C$5:$C$12,MATCH(D154,Lists!$A$5:$A$12,0))</f>
        <v>1600</v>
      </c>
      <c r="J154" s="32" t="n">
        <f aca="false">INDEX(Lists!$D$5:$D$12,MATCH(D154,Lists!$A$5:$A$12,0))</f>
        <v>1100</v>
      </c>
      <c r="K154" s="32" t="n">
        <f aca="false">E154*I154*(1-F154)</f>
        <v>4320</v>
      </c>
      <c r="L154" s="32" t="n">
        <f aca="false">E154*J154</f>
        <v>3300</v>
      </c>
      <c r="M154" s="32" t="n">
        <f aca="false">K154-L154</f>
        <v>1020</v>
      </c>
      <c r="N154" s="33" t="n">
        <f aca="false">DATE(YEAR(B154),MONTH(B154),1)</f>
        <v>46054</v>
      </c>
    </row>
    <row r="155" customFormat="false" ht="15" hidden="false" customHeight="false" outlineLevel="0" collapsed="false">
      <c r="A155" s="29" t="s">
        <v>229</v>
      </c>
      <c r="B155" s="30" t="n">
        <v>46073</v>
      </c>
      <c r="C155" s="29" t="s">
        <v>88</v>
      </c>
      <c r="D155" s="29" t="s">
        <v>72</v>
      </c>
      <c r="E155" s="29" t="n">
        <v>5</v>
      </c>
      <c r="F155" s="31" t="n">
        <v>0</v>
      </c>
      <c r="G155" s="14" t="str">
        <f aca="false">INDEX(Lists!$G$5:$G$12,MATCH(C155,Lists!$F$5:$F$12,0))</f>
        <v>North</v>
      </c>
      <c r="H155" s="14" t="str">
        <f aca="false">INDEX(Lists!$B$5:$B$12,MATCH(D155,Lists!$A$5:$A$12,0))</f>
        <v>Accessories</v>
      </c>
      <c r="I155" s="32" t="n">
        <f aca="false">INDEX(Lists!$C$5:$C$12,MATCH(D155,Lists!$A$5:$A$12,0))</f>
        <v>80</v>
      </c>
      <c r="J155" s="32" t="n">
        <f aca="false">INDEX(Lists!$D$5:$D$12,MATCH(D155,Lists!$A$5:$A$12,0))</f>
        <v>38</v>
      </c>
      <c r="K155" s="32" t="n">
        <f aca="false">E155*I155*(1-F155)</f>
        <v>400</v>
      </c>
      <c r="L155" s="32" t="n">
        <f aca="false">E155*J155</f>
        <v>190</v>
      </c>
      <c r="M155" s="32" t="n">
        <f aca="false">K155-L155</f>
        <v>210</v>
      </c>
      <c r="N155" s="33" t="n">
        <f aca="false">DATE(YEAR(B155),MONTH(B155),1)</f>
        <v>46054</v>
      </c>
    </row>
    <row r="156" customFormat="false" ht="15" hidden="false" customHeight="false" outlineLevel="0" collapsed="false">
      <c r="A156" s="29" t="s">
        <v>230</v>
      </c>
      <c r="B156" s="30" t="n">
        <v>46074</v>
      </c>
      <c r="C156" s="29" t="s">
        <v>86</v>
      </c>
      <c r="D156" s="29" t="s">
        <v>62</v>
      </c>
      <c r="E156" s="29" t="n">
        <v>1</v>
      </c>
      <c r="F156" s="31" t="n">
        <v>0.1</v>
      </c>
      <c r="G156" s="14" t="str">
        <f aca="false">INDEX(Lists!$G$5:$G$12,MATCH(C156,Lists!$F$5:$F$12,0))</f>
        <v>North</v>
      </c>
      <c r="H156" s="14" t="str">
        <f aca="false">INDEX(Lists!$B$5:$B$12,MATCH(D156,Lists!$A$5:$A$12,0))</f>
        <v>Computers</v>
      </c>
      <c r="I156" s="32" t="n">
        <f aca="false">INDEX(Lists!$C$5:$C$12,MATCH(D156,Lists!$A$5:$A$12,0))</f>
        <v>1600</v>
      </c>
      <c r="J156" s="32" t="n">
        <f aca="false">INDEX(Lists!$D$5:$D$12,MATCH(D156,Lists!$A$5:$A$12,0))</f>
        <v>1100</v>
      </c>
      <c r="K156" s="32" t="n">
        <f aca="false">E156*I156*(1-F156)</f>
        <v>1440</v>
      </c>
      <c r="L156" s="32" t="n">
        <f aca="false">E156*J156</f>
        <v>1100</v>
      </c>
      <c r="M156" s="32" t="n">
        <f aca="false">K156-L156</f>
        <v>340</v>
      </c>
      <c r="N156" s="33" t="n">
        <f aca="false">DATE(YEAR(B156),MONTH(B156),1)</f>
        <v>46054</v>
      </c>
    </row>
    <row r="157" customFormat="false" ht="15" hidden="false" customHeight="false" outlineLevel="0" collapsed="false">
      <c r="A157" s="29" t="s">
        <v>231</v>
      </c>
      <c r="B157" s="30" t="n">
        <v>46075</v>
      </c>
      <c r="C157" s="29" t="s">
        <v>93</v>
      </c>
      <c r="D157" s="29" t="s">
        <v>70</v>
      </c>
      <c r="E157" s="29" t="n">
        <v>8</v>
      </c>
      <c r="F157" s="31" t="n">
        <v>0.05</v>
      </c>
      <c r="G157" s="14" t="str">
        <f aca="false">INDEX(Lists!$G$5:$G$12,MATCH(C157,Lists!$F$5:$F$12,0))</f>
        <v>West</v>
      </c>
      <c r="H157" s="14" t="str">
        <f aca="false">INDEX(Lists!$B$5:$B$12,MATCH(D157,Lists!$A$5:$A$12,0))</f>
        <v>Displays</v>
      </c>
      <c r="I157" s="32" t="n">
        <f aca="false">INDEX(Lists!$C$5:$C$12,MATCH(D157,Lists!$A$5:$A$12,0))</f>
        <v>520</v>
      </c>
      <c r="J157" s="32" t="n">
        <f aca="false">INDEX(Lists!$D$5:$D$12,MATCH(D157,Lists!$A$5:$A$12,0))</f>
        <v>340</v>
      </c>
      <c r="K157" s="32" t="n">
        <f aca="false">E157*I157*(1-F157)</f>
        <v>3952</v>
      </c>
      <c r="L157" s="32" t="n">
        <f aca="false">E157*J157</f>
        <v>2720</v>
      </c>
      <c r="M157" s="32" t="n">
        <f aca="false">K157-L157</f>
        <v>1232</v>
      </c>
      <c r="N157" s="33" t="n">
        <f aca="false">DATE(YEAR(B157),MONTH(B157),1)</f>
        <v>46054</v>
      </c>
    </row>
    <row r="158" customFormat="false" ht="15" hidden="false" customHeight="false" outlineLevel="0" collapsed="false">
      <c r="A158" s="29" t="s">
        <v>232</v>
      </c>
      <c r="B158" s="30" t="n">
        <v>46076</v>
      </c>
      <c r="C158" s="29" t="s">
        <v>61</v>
      </c>
      <c r="D158" s="29" t="s">
        <v>67</v>
      </c>
      <c r="E158" s="29" t="n">
        <v>17</v>
      </c>
      <c r="F158" s="31" t="n">
        <v>0.15</v>
      </c>
      <c r="G158" s="14" t="str">
        <f aca="false">INDEX(Lists!$G$5:$G$12,MATCH(C158,Lists!$F$5:$F$12,0))</f>
        <v>South</v>
      </c>
      <c r="H158" s="14" t="str">
        <f aca="false">INDEX(Lists!$B$5:$B$12,MATCH(D158,Lists!$A$5:$A$12,0))</f>
        <v>Accessories</v>
      </c>
      <c r="I158" s="32" t="n">
        <f aca="false">INDEX(Lists!$C$5:$C$12,MATCH(D158,Lists!$A$5:$A$12,0))</f>
        <v>120</v>
      </c>
      <c r="J158" s="32" t="n">
        <f aca="false">INDEX(Lists!$D$5:$D$12,MATCH(D158,Lists!$A$5:$A$12,0))</f>
        <v>62</v>
      </c>
      <c r="K158" s="32" t="n">
        <f aca="false">E158*I158*(1-F158)</f>
        <v>1734</v>
      </c>
      <c r="L158" s="32" t="n">
        <f aca="false">E158*J158</f>
        <v>1054</v>
      </c>
      <c r="M158" s="32" t="n">
        <f aca="false">K158-L158</f>
        <v>680</v>
      </c>
      <c r="N158" s="33" t="n">
        <f aca="false">DATE(YEAR(B158),MONTH(B158),1)</f>
        <v>46054</v>
      </c>
    </row>
    <row r="159" customFormat="false" ht="15" hidden="false" customHeight="false" outlineLevel="0" collapsed="false">
      <c r="A159" s="29" t="s">
        <v>233</v>
      </c>
      <c r="B159" s="30" t="n">
        <v>46079</v>
      </c>
      <c r="C159" s="29" t="s">
        <v>93</v>
      </c>
      <c r="D159" s="29" t="s">
        <v>62</v>
      </c>
      <c r="E159" s="29" t="n">
        <v>3</v>
      </c>
      <c r="F159" s="31" t="n">
        <v>0</v>
      </c>
      <c r="G159" s="14" t="str">
        <f aca="false">INDEX(Lists!$G$5:$G$12,MATCH(C159,Lists!$F$5:$F$12,0))</f>
        <v>West</v>
      </c>
      <c r="H159" s="14" t="str">
        <f aca="false">INDEX(Lists!$B$5:$B$12,MATCH(D159,Lists!$A$5:$A$12,0))</f>
        <v>Computers</v>
      </c>
      <c r="I159" s="32" t="n">
        <f aca="false">INDEX(Lists!$C$5:$C$12,MATCH(D159,Lists!$A$5:$A$12,0))</f>
        <v>1600</v>
      </c>
      <c r="J159" s="32" t="n">
        <f aca="false">INDEX(Lists!$D$5:$D$12,MATCH(D159,Lists!$A$5:$A$12,0))</f>
        <v>1100</v>
      </c>
      <c r="K159" s="32" t="n">
        <f aca="false">E159*I159*(1-F159)</f>
        <v>4800</v>
      </c>
      <c r="L159" s="32" t="n">
        <f aca="false">E159*J159</f>
        <v>3300</v>
      </c>
      <c r="M159" s="32" t="n">
        <f aca="false">K159-L159</f>
        <v>1500</v>
      </c>
      <c r="N159" s="33" t="n">
        <f aca="false">DATE(YEAR(B159),MONTH(B159),1)</f>
        <v>46054</v>
      </c>
    </row>
    <row r="160" customFormat="false" ht="15" hidden="false" customHeight="false" outlineLevel="0" collapsed="false">
      <c r="A160" s="29" t="s">
        <v>234</v>
      </c>
      <c r="B160" s="30" t="n">
        <v>46080</v>
      </c>
      <c r="C160" s="29" t="s">
        <v>83</v>
      </c>
      <c r="D160" s="29" t="s">
        <v>72</v>
      </c>
      <c r="E160" s="29" t="n">
        <v>10</v>
      </c>
      <c r="F160" s="31" t="n">
        <v>0.05</v>
      </c>
      <c r="G160" s="14" t="str">
        <f aca="false">INDEX(Lists!$G$5:$G$12,MATCH(C160,Lists!$F$5:$F$12,0))</f>
        <v>West</v>
      </c>
      <c r="H160" s="14" t="str">
        <f aca="false">INDEX(Lists!$B$5:$B$12,MATCH(D160,Lists!$A$5:$A$12,0))</f>
        <v>Accessories</v>
      </c>
      <c r="I160" s="32" t="n">
        <f aca="false">INDEX(Lists!$C$5:$C$12,MATCH(D160,Lists!$A$5:$A$12,0))</f>
        <v>80</v>
      </c>
      <c r="J160" s="32" t="n">
        <f aca="false">INDEX(Lists!$D$5:$D$12,MATCH(D160,Lists!$A$5:$A$12,0))</f>
        <v>38</v>
      </c>
      <c r="K160" s="32" t="n">
        <f aca="false">E160*I160*(1-F160)</f>
        <v>760</v>
      </c>
      <c r="L160" s="32" t="n">
        <f aca="false">E160*J160</f>
        <v>380</v>
      </c>
      <c r="M160" s="32" t="n">
        <f aca="false">K160-L160</f>
        <v>380</v>
      </c>
      <c r="N160" s="33" t="n">
        <f aca="false">DATE(YEAR(B160),MONTH(B160),1)</f>
        <v>46054</v>
      </c>
    </row>
    <row r="161" customFormat="false" ht="15" hidden="false" customHeight="false" outlineLevel="0" collapsed="false">
      <c r="A161" s="29" t="s">
        <v>235</v>
      </c>
      <c r="B161" s="30" t="n">
        <v>46080</v>
      </c>
      <c r="C161" s="29" t="s">
        <v>93</v>
      </c>
      <c r="D161" s="29" t="s">
        <v>80</v>
      </c>
      <c r="E161" s="29" t="n">
        <v>1</v>
      </c>
      <c r="F161" s="31" t="n">
        <v>0.05</v>
      </c>
      <c r="G161" s="14" t="str">
        <f aca="false">INDEX(Lists!$G$5:$G$12,MATCH(C161,Lists!$F$5:$F$12,0))</f>
        <v>West</v>
      </c>
      <c r="H161" s="14" t="str">
        <f aca="false">INDEX(Lists!$B$5:$B$12,MATCH(D161,Lists!$A$5:$A$12,0))</f>
        <v>Computers</v>
      </c>
      <c r="I161" s="32" t="n">
        <f aca="false">INDEX(Lists!$C$5:$C$12,MATCH(D161,Lists!$A$5:$A$12,0))</f>
        <v>2400</v>
      </c>
      <c r="J161" s="32" t="n">
        <f aca="false">INDEX(Lists!$D$5:$D$12,MATCH(D161,Lists!$A$5:$A$12,0))</f>
        <v>1650</v>
      </c>
      <c r="K161" s="32" t="n">
        <f aca="false">E161*I161*(1-F161)</f>
        <v>2280</v>
      </c>
      <c r="L161" s="32" t="n">
        <f aca="false">E161*J161</f>
        <v>1650</v>
      </c>
      <c r="M161" s="32" t="n">
        <f aca="false">K161-L161</f>
        <v>630</v>
      </c>
      <c r="N161" s="33" t="n">
        <f aca="false">DATE(YEAR(B161),MONTH(B161),1)</f>
        <v>46054</v>
      </c>
    </row>
    <row r="162" customFormat="false" ht="15" hidden="false" customHeight="false" outlineLevel="0" collapsed="false">
      <c r="A162" s="29" t="s">
        <v>236</v>
      </c>
      <c r="B162" s="30" t="n">
        <v>46080</v>
      </c>
      <c r="C162" s="29" t="s">
        <v>69</v>
      </c>
      <c r="D162" s="29" t="s">
        <v>80</v>
      </c>
      <c r="E162" s="29" t="n">
        <v>2</v>
      </c>
      <c r="F162" s="31" t="n">
        <v>0</v>
      </c>
      <c r="G162" s="14" t="str">
        <f aca="false">INDEX(Lists!$G$5:$G$12,MATCH(C162,Lists!$F$5:$F$12,0))</f>
        <v>East</v>
      </c>
      <c r="H162" s="14" t="str">
        <f aca="false">INDEX(Lists!$B$5:$B$12,MATCH(D162,Lists!$A$5:$A$12,0))</f>
        <v>Computers</v>
      </c>
      <c r="I162" s="32" t="n">
        <f aca="false">INDEX(Lists!$C$5:$C$12,MATCH(D162,Lists!$A$5:$A$12,0))</f>
        <v>2400</v>
      </c>
      <c r="J162" s="32" t="n">
        <f aca="false">INDEX(Lists!$D$5:$D$12,MATCH(D162,Lists!$A$5:$A$12,0))</f>
        <v>1650</v>
      </c>
      <c r="K162" s="32" t="n">
        <f aca="false">E162*I162*(1-F162)</f>
        <v>4800</v>
      </c>
      <c r="L162" s="32" t="n">
        <f aca="false">E162*J162</f>
        <v>3300</v>
      </c>
      <c r="M162" s="32" t="n">
        <f aca="false">K162-L162</f>
        <v>1500</v>
      </c>
      <c r="N162" s="33" t="n">
        <f aca="false">DATE(YEAR(B162),MONTH(B162),1)</f>
        <v>46054</v>
      </c>
    </row>
    <row r="163" customFormat="false" ht="15" hidden="false" customHeight="false" outlineLevel="0" collapsed="false">
      <c r="A163" s="29" t="s">
        <v>237</v>
      </c>
      <c r="B163" s="30" t="n">
        <v>46080</v>
      </c>
      <c r="C163" s="29" t="s">
        <v>69</v>
      </c>
      <c r="D163" s="29" t="s">
        <v>72</v>
      </c>
      <c r="E163" s="29" t="n">
        <v>4</v>
      </c>
      <c r="F163" s="31" t="n">
        <v>0</v>
      </c>
      <c r="G163" s="14" t="str">
        <f aca="false">INDEX(Lists!$G$5:$G$12,MATCH(C163,Lists!$F$5:$F$12,0))</f>
        <v>East</v>
      </c>
      <c r="H163" s="14" t="str">
        <f aca="false">INDEX(Lists!$B$5:$B$12,MATCH(D163,Lists!$A$5:$A$12,0))</f>
        <v>Accessories</v>
      </c>
      <c r="I163" s="32" t="n">
        <f aca="false">INDEX(Lists!$C$5:$C$12,MATCH(D163,Lists!$A$5:$A$12,0))</f>
        <v>80</v>
      </c>
      <c r="J163" s="32" t="n">
        <f aca="false">INDEX(Lists!$D$5:$D$12,MATCH(D163,Lists!$A$5:$A$12,0))</f>
        <v>38</v>
      </c>
      <c r="K163" s="32" t="n">
        <f aca="false">E163*I163*(1-F163)</f>
        <v>320</v>
      </c>
      <c r="L163" s="32" t="n">
        <f aca="false">E163*J163</f>
        <v>152</v>
      </c>
      <c r="M163" s="32" t="n">
        <f aca="false">K163-L163</f>
        <v>168</v>
      </c>
      <c r="N163" s="33" t="n">
        <f aca="false">DATE(YEAR(B163),MONTH(B163),1)</f>
        <v>46054</v>
      </c>
    </row>
    <row r="164" customFormat="false" ht="15" hidden="false" customHeight="false" outlineLevel="0" collapsed="false">
      <c r="A164" s="29" t="s">
        <v>238</v>
      </c>
      <c r="B164" s="30" t="n">
        <v>46082</v>
      </c>
      <c r="C164" s="29" t="s">
        <v>93</v>
      </c>
      <c r="D164" s="29" t="s">
        <v>80</v>
      </c>
      <c r="E164" s="29" t="n">
        <v>2</v>
      </c>
      <c r="F164" s="31" t="n">
        <v>0</v>
      </c>
      <c r="G164" s="14" t="str">
        <f aca="false">INDEX(Lists!$G$5:$G$12,MATCH(C164,Lists!$F$5:$F$12,0))</f>
        <v>West</v>
      </c>
      <c r="H164" s="14" t="str">
        <f aca="false">INDEX(Lists!$B$5:$B$12,MATCH(D164,Lists!$A$5:$A$12,0))</f>
        <v>Computers</v>
      </c>
      <c r="I164" s="32" t="n">
        <f aca="false">INDEX(Lists!$C$5:$C$12,MATCH(D164,Lists!$A$5:$A$12,0))</f>
        <v>2400</v>
      </c>
      <c r="J164" s="32" t="n">
        <f aca="false">INDEX(Lists!$D$5:$D$12,MATCH(D164,Lists!$A$5:$A$12,0))</f>
        <v>1650</v>
      </c>
      <c r="K164" s="32" t="n">
        <f aca="false">E164*I164*(1-F164)</f>
        <v>4800</v>
      </c>
      <c r="L164" s="32" t="n">
        <f aca="false">E164*J164</f>
        <v>3300</v>
      </c>
      <c r="M164" s="32" t="n">
        <f aca="false">K164-L164</f>
        <v>1500</v>
      </c>
      <c r="N164" s="33" t="n">
        <f aca="false">DATE(YEAR(B164),MONTH(B164),1)</f>
        <v>46082</v>
      </c>
    </row>
    <row r="165" customFormat="false" ht="15" hidden="false" customHeight="false" outlineLevel="0" collapsed="false">
      <c r="A165" s="29" t="s">
        <v>239</v>
      </c>
      <c r="B165" s="30" t="n">
        <v>46084</v>
      </c>
      <c r="C165" s="29" t="s">
        <v>61</v>
      </c>
      <c r="D165" s="29" t="s">
        <v>65</v>
      </c>
      <c r="E165" s="29" t="n">
        <v>6</v>
      </c>
      <c r="F165" s="31" t="n">
        <v>0.05</v>
      </c>
      <c r="G165" s="14" t="str">
        <f aca="false">INDEX(Lists!$G$5:$G$12,MATCH(C165,Lists!$F$5:$F$12,0))</f>
        <v>South</v>
      </c>
      <c r="H165" s="14" t="str">
        <f aca="false">INDEX(Lists!$B$5:$B$12,MATCH(D165,Lists!$A$5:$A$12,0))</f>
        <v>Accessories</v>
      </c>
      <c r="I165" s="32" t="n">
        <f aca="false">INDEX(Lists!$C$5:$C$12,MATCH(D165,Lists!$A$5:$A$12,0))</f>
        <v>260</v>
      </c>
      <c r="J165" s="32" t="n">
        <f aca="false">INDEX(Lists!$D$5:$D$12,MATCH(D165,Lists!$A$5:$A$12,0))</f>
        <v>150</v>
      </c>
      <c r="K165" s="32" t="n">
        <f aca="false">E165*I165*(1-F165)</f>
        <v>1482</v>
      </c>
      <c r="L165" s="32" t="n">
        <f aca="false">E165*J165</f>
        <v>900</v>
      </c>
      <c r="M165" s="32" t="n">
        <f aca="false">K165-L165</f>
        <v>582</v>
      </c>
      <c r="N165" s="33" t="n">
        <f aca="false">DATE(YEAR(B165),MONTH(B165),1)</f>
        <v>46082</v>
      </c>
    </row>
    <row r="166" customFormat="false" ht="15" hidden="false" customHeight="false" outlineLevel="0" collapsed="false">
      <c r="A166" s="29" t="s">
        <v>240</v>
      </c>
      <c r="B166" s="30" t="n">
        <v>46085</v>
      </c>
      <c r="C166" s="29" t="s">
        <v>86</v>
      </c>
      <c r="D166" s="29" t="s">
        <v>80</v>
      </c>
      <c r="E166" s="29" t="n">
        <v>1</v>
      </c>
      <c r="F166" s="31" t="n">
        <v>0.05</v>
      </c>
      <c r="G166" s="14" t="str">
        <f aca="false">INDEX(Lists!$G$5:$G$12,MATCH(C166,Lists!$F$5:$F$12,0))</f>
        <v>North</v>
      </c>
      <c r="H166" s="14" t="str">
        <f aca="false">INDEX(Lists!$B$5:$B$12,MATCH(D166,Lists!$A$5:$A$12,0))</f>
        <v>Computers</v>
      </c>
      <c r="I166" s="32" t="n">
        <f aca="false">INDEX(Lists!$C$5:$C$12,MATCH(D166,Lists!$A$5:$A$12,0))</f>
        <v>2400</v>
      </c>
      <c r="J166" s="32" t="n">
        <f aca="false">INDEX(Lists!$D$5:$D$12,MATCH(D166,Lists!$A$5:$A$12,0))</f>
        <v>1650</v>
      </c>
      <c r="K166" s="32" t="n">
        <f aca="false">E166*I166*(1-F166)</f>
        <v>2280</v>
      </c>
      <c r="L166" s="32" t="n">
        <f aca="false">E166*J166</f>
        <v>1650</v>
      </c>
      <c r="M166" s="32" t="n">
        <f aca="false">K166-L166</f>
        <v>630</v>
      </c>
      <c r="N166" s="33" t="n">
        <f aca="false">DATE(YEAR(B166),MONTH(B166),1)</f>
        <v>46082</v>
      </c>
    </row>
    <row r="167" customFormat="false" ht="15" hidden="false" customHeight="false" outlineLevel="0" collapsed="false">
      <c r="A167" s="29" t="s">
        <v>241</v>
      </c>
      <c r="B167" s="30" t="n">
        <v>46085</v>
      </c>
      <c r="C167" s="29" t="s">
        <v>88</v>
      </c>
      <c r="D167" s="29" t="s">
        <v>67</v>
      </c>
      <c r="E167" s="29" t="n">
        <v>11</v>
      </c>
      <c r="F167" s="31" t="n">
        <v>0.15</v>
      </c>
      <c r="G167" s="14" t="str">
        <f aca="false">INDEX(Lists!$G$5:$G$12,MATCH(C167,Lists!$F$5:$F$12,0))</f>
        <v>North</v>
      </c>
      <c r="H167" s="14" t="str">
        <f aca="false">INDEX(Lists!$B$5:$B$12,MATCH(D167,Lists!$A$5:$A$12,0))</f>
        <v>Accessories</v>
      </c>
      <c r="I167" s="32" t="n">
        <f aca="false">INDEX(Lists!$C$5:$C$12,MATCH(D167,Lists!$A$5:$A$12,0))</f>
        <v>120</v>
      </c>
      <c r="J167" s="32" t="n">
        <f aca="false">INDEX(Lists!$D$5:$D$12,MATCH(D167,Lists!$A$5:$A$12,0))</f>
        <v>62</v>
      </c>
      <c r="K167" s="32" t="n">
        <f aca="false">E167*I167*(1-F167)</f>
        <v>1122</v>
      </c>
      <c r="L167" s="32" t="n">
        <f aca="false">E167*J167</f>
        <v>682</v>
      </c>
      <c r="M167" s="32" t="n">
        <f aca="false">K167-L167</f>
        <v>440</v>
      </c>
      <c r="N167" s="33" t="n">
        <f aca="false">DATE(YEAR(B167),MONTH(B167),1)</f>
        <v>46082</v>
      </c>
    </row>
    <row r="168" customFormat="false" ht="15" hidden="false" customHeight="false" outlineLevel="0" collapsed="false">
      <c r="A168" s="29" t="s">
        <v>242</v>
      </c>
      <c r="B168" s="30" t="n">
        <v>46087</v>
      </c>
      <c r="C168" s="29" t="s">
        <v>93</v>
      </c>
      <c r="D168" s="29" t="s">
        <v>67</v>
      </c>
      <c r="E168" s="29" t="n">
        <v>14</v>
      </c>
      <c r="F168" s="31" t="n">
        <v>0.1</v>
      </c>
      <c r="G168" s="14" t="str">
        <f aca="false">INDEX(Lists!$G$5:$G$12,MATCH(C168,Lists!$F$5:$F$12,0))</f>
        <v>West</v>
      </c>
      <c r="H168" s="14" t="str">
        <f aca="false">INDEX(Lists!$B$5:$B$12,MATCH(D168,Lists!$A$5:$A$12,0))</f>
        <v>Accessories</v>
      </c>
      <c r="I168" s="32" t="n">
        <f aca="false">INDEX(Lists!$C$5:$C$12,MATCH(D168,Lists!$A$5:$A$12,0))</f>
        <v>120</v>
      </c>
      <c r="J168" s="32" t="n">
        <f aca="false">INDEX(Lists!$D$5:$D$12,MATCH(D168,Lists!$A$5:$A$12,0))</f>
        <v>62</v>
      </c>
      <c r="K168" s="32" t="n">
        <f aca="false">E168*I168*(1-F168)</f>
        <v>1512</v>
      </c>
      <c r="L168" s="32" t="n">
        <f aca="false">E168*J168</f>
        <v>868</v>
      </c>
      <c r="M168" s="32" t="n">
        <f aca="false">K168-L168</f>
        <v>644</v>
      </c>
      <c r="N168" s="33" t="n">
        <f aca="false">DATE(YEAR(B168),MONTH(B168),1)</f>
        <v>46082</v>
      </c>
    </row>
    <row r="169" customFormat="false" ht="15" hidden="false" customHeight="false" outlineLevel="0" collapsed="false">
      <c r="A169" s="29" t="s">
        <v>243</v>
      </c>
      <c r="B169" s="30" t="n">
        <v>46087</v>
      </c>
      <c r="C169" s="29" t="s">
        <v>93</v>
      </c>
      <c r="D169" s="29" t="s">
        <v>70</v>
      </c>
      <c r="E169" s="29" t="n">
        <v>6</v>
      </c>
      <c r="F169" s="31" t="n">
        <v>0</v>
      </c>
      <c r="G169" s="14" t="str">
        <f aca="false">INDEX(Lists!$G$5:$G$12,MATCH(C169,Lists!$F$5:$F$12,0))</f>
        <v>West</v>
      </c>
      <c r="H169" s="14" t="str">
        <f aca="false">INDEX(Lists!$B$5:$B$12,MATCH(D169,Lists!$A$5:$A$12,0))</f>
        <v>Displays</v>
      </c>
      <c r="I169" s="32" t="n">
        <f aca="false">INDEX(Lists!$C$5:$C$12,MATCH(D169,Lists!$A$5:$A$12,0))</f>
        <v>520</v>
      </c>
      <c r="J169" s="32" t="n">
        <f aca="false">INDEX(Lists!$D$5:$D$12,MATCH(D169,Lists!$A$5:$A$12,0))</f>
        <v>340</v>
      </c>
      <c r="K169" s="32" t="n">
        <f aca="false">E169*I169*(1-F169)</f>
        <v>3120</v>
      </c>
      <c r="L169" s="32" t="n">
        <f aca="false">E169*J169</f>
        <v>2040</v>
      </c>
      <c r="M169" s="32" t="n">
        <f aca="false">K169-L169</f>
        <v>1080</v>
      </c>
      <c r="N169" s="33" t="n">
        <f aca="false">DATE(YEAR(B169),MONTH(B169),1)</f>
        <v>46082</v>
      </c>
    </row>
    <row r="170" customFormat="false" ht="15" hidden="false" customHeight="false" outlineLevel="0" collapsed="false">
      <c r="A170" s="29" t="s">
        <v>244</v>
      </c>
      <c r="B170" s="30" t="n">
        <v>46088</v>
      </c>
      <c r="C170" s="29" t="s">
        <v>83</v>
      </c>
      <c r="D170" s="29" t="s">
        <v>70</v>
      </c>
      <c r="E170" s="29" t="n">
        <v>6</v>
      </c>
      <c r="F170" s="31" t="n">
        <v>0.15</v>
      </c>
      <c r="G170" s="14" t="str">
        <f aca="false">INDEX(Lists!$G$5:$G$12,MATCH(C170,Lists!$F$5:$F$12,0))</f>
        <v>West</v>
      </c>
      <c r="H170" s="14" t="str">
        <f aca="false">INDEX(Lists!$B$5:$B$12,MATCH(D170,Lists!$A$5:$A$12,0))</f>
        <v>Displays</v>
      </c>
      <c r="I170" s="32" t="n">
        <f aca="false">INDEX(Lists!$C$5:$C$12,MATCH(D170,Lists!$A$5:$A$12,0))</f>
        <v>520</v>
      </c>
      <c r="J170" s="32" t="n">
        <f aca="false">INDEX(Lists!$D$5:$D$12,MATCH(D170,Lists!$A$5:$A$12,0))</f>
        <v>340</v>
      </c>
      <c r="K170" s="32" t="n">
        <f aca="false">E170*I170*(1-F170)</f>
        <v>2652</v>
      </c>
      <c r="L170" s="32" t="n">
        <f aca="false">E170*J170</f>
        <v>2040</v>
      </c>
      <c r="M170" s="32" t="n">
        <f aca="false">K170-L170</f>
        <v>612</v>
      </c>
      <c r="N170" s="33" t="n">
        <f aca="false">DATE(YEAR(B170),MONTH(B170),1)</f>
        <v>46082</v>
      </c>
    </row>
    <row r="171" customFormat="false" ht="15" hidden="false" customHeight="false" outlineLevel="0" collapsed="false">
      <c r="A171" s="29" t="s">
        <v>245</v>
      </c>
      <c r="B171" s="30" t="n">
        <v>46088</v>
      </c>
      <c r="C171" s="29" t="s">
        <v>88</v>
      </c>
      <c r="D171" s="29" t="s">
        <v>62</v>
      </c>
      <c r="E171" s="29" t="n">
        <v>4</v>
      </c>
      <c r="F171" s="31" t="n">
        <v>0</v>
      </c>
      <c r="G171" s="14" t="str">
        <f aca="false">INDEX(Lists!$G$5:$G$12,MATCH(C171,Lists!$F$5:$F$12,0))</f>
        <v>North</v>
      </c>
      <c r="H171" s="14" t="str">
        <f aca="false">INDEX(Lists!$B$5:$B$12,MATCH(D171,Lists!$A$5:$A$12,0))</f>
        <v>Computers</v>
      </c>
      <c r="I171" s="32" t="n">
        <f aca="false">INDEX(Lists!$C$5:$C$12,MATCH(D171,Lists!$A$5:$A$12,0))</f>
        <v>1600</v>
      </c>
      <c r="J171" s="32" t="n">
        <f aca="false">INDEX(Lists!$D$5:$D$12,MATCH(D171,Lists!$A$5:$A$12,0))</f>
        <v>1100</v>
      </c>
      <c r="K171" s="32" t="n">
        <f aca="false">E171*I171*(1-F171)</f>
        <v>6400</v>
      </c>
      <c r="L171" s="32" t="n">
        <f aca="false">E171*J171</f>
        <v>4400</v>
      </c>
      <c r="M171" s="32" t="n">
        <f aca="false">K171-L171</f>
        <v>2000</v>
      </c>
      <c r="N171" s="33" t="n">
        <f aca="false">DATE(YEAR(B171),MONTH(B171),1)</f>
        <v>46082</v>
      </c>
    </row>
    <row r="172" customFormat="false" ht="15" hidden="false" customHeight="false" outlineLevel="0" collapsed="false">
      <c r="A172" s="29" t="s">
        <v>246</v>
      </c>
      <c r="B172" s="30" t="n">
        <v>46088</v>
      </c>
      <c r="C172" s="29" t="s">
        <v>88</v>
      </c>
      <c r="D172" s="29" t="s">
        <v>72</v>
      </c>
      <c r="E172" s="29" t="n">
        <v>10</v>
      </c>
      <c r="F172" s="31" t="n">
        <v>0.05</v>
      </c>
      <c r="G172" s="14" t="str">
        <f aca="false">INDEX(Lists!$G$5:$G$12,MATCH(C172,Lists!$F$5:$F$12,0))</f>
        <v>North</v>
      </c>
      <c r="H172" s="14" t="str">
        <f aca="false">INDEX(Lists!$B$5:$B$12,MATCH(D172,Lists!$A$5:$A$12,0))</f>
        <v>Accessories</v>
      </c>
      <c r="I172" s="32" t="n">
        <f aca="false">INDEX(Lists!$C$5:$C$12,MATCH(D172,Lists!$A$5:$A$12,0))</f>
        <v>80</v>
      </c>
      <c r="J172" s="32" t="n">
        <f aca="false">INDEX(Lists!$D$5:$D$12,MATCH(D172,Lists!$A$5:$A$12,0))</f>
        <v>38</v>
      </c>
      <c r="K172" s="32" t="n">
        <f aca="false">E172*I172*(1-F172)</f>
        <v>760</v>
      </c>
      <c r="L172" s="32" t="n">
        <f aca="false">E172*J172</f>
        <v>380</v>
      </c>
      <c r="M172" s="32" t="n">
        <f aca="false">K172-L172</f>
        <v>380</v>
      </c>
      <c r="N172" s="33" t="n">
        <f aca="false">DATE(YEAR(B172),MONTH(B172),1)</f>
        <v>46082</v>
      </c>
    </row>
    <row r="173" customFormat="false" ht="15" hidden="false" customHeight="false" outlineLevel="0" collapsed="false">
      <c r="A173" s="29" t="s">
        <v>247</v>
      </c>
      <c r="B173" s="30" t="n">
        <v>46090</v>
      </c>
      <c r="C173" s="29" t="s">
        <v>61</v>
      </c>
      <c r="D173" s="29" t="s">
        <v>72</v>
      </c>
      <c r="E173" s="29" t="n">
        <v>6</v>
      </c>
      <c r="F173" s="31" t="n">
        <v>0</v>
      </c>
      <c r="G173" s="14" t="str">
        <f aca="false">INDEX(Lists!$G$5:$G$12,MATCH(C173,Lists!$F$5:$F$12,0))</f>
        <v>South</v>
      </c>
      <c r="H173" s="14" t="str">
        <f aca="false">INDEX(Lists!$B$5:$B$12,MATCH(D173,Lists!$A$5:$A$12,0))</f>
        <v>Accessories</v>
      </c>
      <c r="I173" s="32" t="n">
        <f aca="false">INDEX(Lists!$C$5:$C$12,MATCH(D173,Lists!$A$5:$A$12,0))</f>
        <v>80</v>
      </c>
      <c r="J173" s="32" t="n">
        <f aca="false">INDEX(Lists!$D$5:$D$12,MATCH(D173,Lists!$A$5:$A$12,0))</f>
        <v>38</v>
      </c>
      <c r="K173" s="32" t="n">
        <f aca="false">E173*I173*(1-F173)</f>
        <v>480</v>
      </c>
      <c r="L173" s="32" t="n">
        <f aca="false">E173*J173</f>
        <v>228</v>
      </c>
      <c r="M173" s="32" t="n">
        <f aca="false">K173-L173</f>
        <v>252</v>
      </c>
      <c r="N173" s="33" t="n">
        <f aca="false">DATE(YEAR(B173),MONTH(B173),1)</f>
        <v>46082</v>
      </c>
    </row>
    <row r="174" customFormat="false" ht="15" hidden="false" customHeight="false" outlineLevel="0" collapsed="false">
      <c r="A174" s="29" t="s">
        <v>248</v>
      </c>
      <c r="B174" s="30" t="n">
        <v>46090</v>
      </c>
      <c r="C174" s="29" t="s">
        <v>88</v>
      </c>
      <c r="D174" s="29" t="s">
        <v>62</v>
      </c>
      <c r="E174" s="29" t="n">
        <v>2</v>
      </c>
      <c r="F174" s="31" t="n">
        <v>0.05</v>
      </c>
      <c r="G174" s="14" t="str">
        <f aca="false">INDEX(Lists!$G$5:$G$12,MATCH(C174,Lists!$F$5:$F$12,0))</f>
        <v>North</v>
      </c>
      <c r="H174" s="14" t="str">
        <f aca="false">INDEX(Lists!$B$5:$B$12,MATCH(D174,Lists!$A$5:$A$12,0))</f>
        <v>Computers</v>
      </c>
      <c r="I174" s="32" t="n">
        <f aca="false">INDEX(Lists!$C$5:$C$12,MATCH(D174,Lists!$A$5:$A$12,0))</f>
        <v>1600</v>
      </c>
      <c r="J174" s="32" t="n">
        <f aca="false">INDEX(Lists!$D$5:$D$12,MATCH(D174,Lists!$A$5:$A$12,0))</f>
        <v>1100</v>
      </c>
      <c r="K174" s="32" t="n">
        <f aca="false">E174*I174*(1-F174)</f>
        <v>3040</v>
      </c>
      <c r="L174" s="32" t="n">
        <f aca="false">E174*J174</f>
        <v>2200</v>
      </c>
      <c r="M174" s="32" t="n">
        <f aca="false">K174-L174</f>
        <v>840</v>
      </c>
      <c r="N174" s="33" t="n">
        <f aca="false">DATE(YEAR(B174),MONTH(B174),1)</f>
        <v>46082</v>
      </c>
    </row>
    <row r="175" customFormat="false" ht="15" hidden="false" customHeight="false" outlineLevel="0" collapsed="false">
      <c r="A175" s="29" t="s">
        <v>249</v>
      </c>
      <c r="B175" s="30" t="n">
        <v>46090</v>
      </c>
      <c r="C175" s="29" t="s">
        <v>64</v>
      </c>
      <c r="D175" s="29" t="s">
        <v>75</v>
      </c>
      <c r="E175" s="29" t="n">
        <v>5</v>
      </c>
      <c r="F175" s="31" t="n">
        <v>0</v>
      </c>
      <c r="G175" s="14" t="str">
        <f aca="false">INDEX(Lists!$G$5:$G$12,MATCH(C175,Lists!$F$5:$F$12,0))</f>
        <v>East</v>
      </c>
      <c r="H175" s="14" t="str">
        <f aca="false">INDEX(Lists!$B$5:$B$12,MATCH(D175,Lists!$A$5:$A$12,0))</f>
        <v>Audio</v>
      </c>
      <c r="I175" s="32" t="n">
        <f aca="false">INDEX(Lists!$C$5:$C$12,MATCH(D175,Lists!$A$5:$A$12,0))</f>
        <v>140</v>
      </c>
      <c r="J175" s="32" t="n">
        <f aca="false">INDEX(Lists!$D$5:$D$12,MATCH(D175,Lists!$A$5:$A$12,0))</f>
        <v>70</v>
      </c>
      <c r="K175" s="32" t="n">
        <f aca="false">E175*I175*(1-F175)</f>
        <v>700</v>
      </c>
      <c r="L175" s="32" t="n">
        <f aca="false">E175*J175</f>
        <v>350</v>
      </c>
      <c r="M175" s="32" t="n">
        <f aca="false">K175-L175</f>
        <v>350</v>
      </c>
      <c r="N175" s="33" t="n">
        <f aca="false">DATE(YEAR(B175),MONTH(B175),1)</f>
        <v>46082</v>
      </c>
    </row>
    <row r="176" customFormat="false" ht="15" hidden="false" customHeight="false" outlineLevel="0" collapsed="false">
      <c r="A176" s="29" t="s">
        <v>250</v>
      </c>
      <c r="B176" s="30" t="n">
        <v>46090</v>
      </c>
      <c r="C176" s="29" t="s">
        <v>74</v>
      </c>
      <c r="D176" s="29" t="s">
        <v>70</v>
      </c>
      <c r="E176" s="29" t="n">
        <v>4</v>
      </c>
      <c r="F176" s="31" t="n">
        <v>0</v>
      </c>
      <c r="G176" s="14" t="str">
        <f aca="false">INDEX(Lists!$G$5:$G$12,MATCH(C176,Lists!$F$5:$F$12,0))</f>
        <v>South</v>
      </c>
      <c r="H176" s="14" t="str">
        <f aca="false">INDEX(Lists!$B$5:$B$12,MATCH(D176,Lists!$A$5:$A$12,0))</f>
        <v>Displays</v>
      </c>
      <c r="I176" s="32" t="n">
        <f aca="false">INDEX(Lists!$C$5:$C$12,MATCH(D176,Lists!$A$5:$A$12,0))</f>
        <v>520</v>
      </c>
      <c r="J176" s="32" t="n">
        <f aca="false">INDEX(Lists!$D$5:$D$12,MATCH(D176,Lists!$A$5:$A$12,0))</f>
        <v>340</v>
      </c>
      <c r="K176" s="32" t="n">
        <f aca="false">E176*I176*(1-F176)</f>
        <v>2080</v>
      </c>
      <c r="L176" s="32" t="n">
        <f aca="false">E176*J176</f>
        <v>1360</v>
      </c>
      <c r="M176" s="32" t="n">
        <f aca="false">K176-L176</f>
        <v>720</v>
      </c>
      <c r="N176" s="33" t="n">
        <f aca="false">DATE(YEAR(B176),MONTH(B176),1)</f>
        <v>46082</v>
      </c>
    </row>
    <row r="177" customFormat="false" ht="15" hidden="false" customHeight="false" outlineLevel="0" collapsed="false">
      <c r="A177" s="29" t="s">
        <v>251</v>
      </c>
      <c r="B177" s="30" t="n">
        <v>46095</v>
      </c>
      <c r="C177" s="29" t="s">
        <v>74</v>
      </c>
      <c r="D177" s="29" t="s">
        <v>70</v>
      </c>
      <c r="E177" s="29" t="n">
        <v>2</v>
      </c>
      <c r="F177" s="31" t="n">
        <v>0.15</v>
      </c>
      <c r="G177" s="14" t="str">
        <f aca="false">INDEX(Lists!$G$5:$G$12,MATCH(C177,Lists!$F$5:$F$12,0))</f>
        <v>South</v>
      </c>
      <c r="H177" s="14" t="str">
        <f aca="false">INDEX(Lists!$B$5:$B$12,MATCH(D177,Lists!$A$5:$A$12,0))</f>
        <v>Displays</v>
      </c>
      <c r="I177" s="32" t="n">
        <f aca="false">INDEX(Lists!$C$5:$C$12,MATCH(D177,Lists!$A$5:$A$12,0))</f>
        <v>520</v>
      </c>
      <c r="J177" s="32" t="n">
        <f aca="false">INDEX(Lists!$D$5:$D$12,MATCH(D177,Lists!$A$5:$A$12,0))</f>
        <v>340</v>
      </c>
      <c r="K177" s="32" t="n">
        <f aca="false">E177*I177*(1-F177)</f>
        <v>884</v>
      </c>
      <c r="L177" s="32" t="n">
        <f aca="false">E177*J177</f>
        <v>680</v>
      </c>
      <c r="M177" s="32" t="n">
        <f aca="false">K177-L177</f>
        <v>204</v>
      </c>
      <c r="N177" s="33" t="n">
        <f aca="false">DATE(YEAR(B177),MONTH(B177),1)</f>
        <v>46082</v>
      </c>
    </row>
    <row r="178" customFormat="false" ht="15" hidden="false" customHeight="false" outlineLevel="0" collapsed="false">
      <c r="A178" s="29" t="s">
        <v>252</v>
      </c>
      <c r="B178" s="30" t="n">
        <v>46095</v>
      </c>
      <c r="C178" s="29" t="s">
        <v>83</v>
      </c>
      <c r="D178" s="29" t="s">
        <v>70</v>
      </c>
      <c r="E178" s="29" t="n">
        <v>8</v>
      </c>
      <c r="F178" s="31" t="n">
        <v>0.05</v>
      </c>
      <c r="G178" s="14" t="str">
        <f aca="false">INDEX(Lists!$G$5:$G$12,MATCH(C178,Lists!$F$5:$F$12,0))</f>
        <v>West</v>
      </c>
      <c r="H178" s="14" t="str">
        <f aca="false">INDEX(Lists!$B$5:$B$12,MATCH(D178,Lists!$A$5:$A$12,0))</f>
        <v>Displays</v>
      </c>
      <c r="I178" s="32" t="n">
        <f aca="false">INDEX(Lists!$C$5:$C$12,MATCH(D178,Lists!$A$5:$A$12,0))</f>
        <v>520</v>
      </c>
      <c r="J178" s="32" t="n">
        <f aca="false">INDEX(Lists!$D$5:$D$12,MATCH(D178,Lists!$A$5:$A$12,0))</f>
        <v>340</v>
      </c>
      <c r="K178" s="32" t="n">
        <f aca="false">E178*I178*(1-F178)</f>
        <v>3952</v>
      </c>
      <c r="L178" s="32" t="n">
        <f aca="false">E178*J178</f>
        <v>2720</v>
      </c>
      <c r="M178" s="32" t="n">
        <f aca="false">K178-L178</f>
        <v>1232</v>
      </c>
      <c r="N178" s="33" t="n">
        <f aca="false">DATE(YEAR(B178),MONTH(B178),1)</f>
        <v>46082</v>
      </c>
    </row>
    <row r="179" customFormat="false" ht="15" hidden="false" customHeight="false" outlineLevel="0" collapsed="false">
      <c r="A179" s="29" t="s">
        <v>253</v>
      </c>
      <c r="B179" s="30" t="n">
        <v>46096</v>
      </c>
      <c r="C179" s="29" t="s">
        <v>64</v>
      </c>
      <c r="D179" s="29" t="s">
        <v>72</v>
      </c>
      <c r="E179" s="29" t="n">
        <v>11</v>
      </c>
      <c r="F179" s="31" t="n">
        <v>0.15</v>
      </c>
      <c r="G179" s="14" t="str">
        <f aca="false">INDEX(Lists!$G$5:$G$12,MATCH(C179,Lists!$F$5:$F$12,0))</f>
        <v>East</v>
      </c>
      <c r="H179" s="14" t="str">
        <f aca="false">INDEX(Lists!$B$5:$B$12,MATCH(D179,Lists!$A$5:$A$12,0))</f>
        <v>Accessories</v>
      </c>
      <c r="I179" s="32" t="n">
        <f aca="false">INDEX(Lists!$C$5:$C$12,MATCH(D179,Lists!$A$5:$A$12,0))</f>
        <v>80</v>
      </c>
      <c r="J179" s="32" t="n">
        <f aca="false">INDEX(Lists!$D$5:$D$12,MATCH(D179,Lists!$A$5:$A$12,0))</f>
        <v>38</v>
      </c>
      <c r="K179" s="32" t="n">
        <f aca="false">E179*I179*(1-F179)</f>
        <v>748</v>
      </c>
      <c r="L179" s="32" t="n">
        <f aca="false">E179*J179</f>
        <v>418</v>
      </c>
      <c r="M179" s="32" t="n">
        <f aca="false">K179-L179</f>
        <v>330</v>
      </c>
      <c r="N179" s="33" t="n">
        <f aca="false">DATE(YEAR(B179),MONTH(B179),1)</f>
        <v>46082</v>
      </c>
    </row>
    <row r="180" customFormat="false" ht="15" hidden="false" customHeight="false" outlineLevel="0" collapsed="false">
      <c r="A180" s="29" t="s">
        <v>254</v>
      </c>
      <c r="B180" s="30" t="n">
        <v>46099</v>
      </c>
      <c r="C180" s="29" t="s">
        <v>88</v>
      </c>
      <c r="D180" s="29" t="s">
        <v>62</v>
      </c>
      <c r="E180" s="29" t="n">
        <v>4</v>
      </c>
      <c r="F180" s="31" t="n">
        <v>0.05</v>
      </c>
      <c r="G180" s="14" t="str">
        <f aca="false">INDEX(Lists!$G$5:$G$12,MATCH(C180,Lists!$F$5:$F$12,0))</f>
        <v>North</v>
      </c>
      <c r="H180" s="14" t="str">
        <f aca="false">INDEX(Lists!$B$5:$B$12,MATCH(D180,Lists!$A$5:$A$12,0))</f>
        <v>Computers</v>
      </c>
      <c r="I180" s="32" t="n">
        <f aca="false">INDEX(Lists!$C$5:$C$12,MATCH(D180,Lists!$A$5:$A$12,0))</f>
        <v>1600</v>
      </c>
      <c r="J180" s="32" t="n">
        <f aca="false">INDEX(Lists!$D$5:$D$12,MATCH(D180,Lists!$A$5:$A$12,0))</f>
        <v>1100</v>
      </c>
      <c r="K180" s="32" t="n">
        <f aca="false">E180*I180*(1-F180)</f>
        <v>6080</v>
      </c>
      <c r="L180" s="32" t="n">
        <f aca="false">E180*J180</f>
        <v>4400</v>
      </c>
      <c r="M180" s="32" t="n">
        <f aca="false">K180-L180</f>
        <v>1680</v>
      </c>
      <c r="N180" s="33" t="n">
        <f aca="false">DATE(YEAR(B180),MONTH(B180),1)</f>
        <v>46082</v>
      </c>
    </row>
    <row r="181" customFormat="false" ht="15" hidden="false" customHeight="false" outlineLevel="0" collapsed="false">
      <c r="A181" s="29" t="s">
        <v>255</v>
      </c>
      <c r="B181" s="30" t="n">
        <v>46100</v>
      </c>
      <c r="C181" s="29" t="s">
        <v>69</v>
      </c>
      <c r="D181" s="29" t="s">
        <v>72</v>
      </c>
      <c r="E181" s="29" t="n">
        <v>2</v>
      </c>
      <c r="F181" s="31" t="n">
        <v>0.05</v>
      </c>
      <c r="G181" s="14" t="str">
        <f aca="false">INDEX(Lists!$G$5:$G$12,MATCH(C181,Lists!$F$5:$F$12,0))</f>
        <v>East</v>
      </c>
      <c r="H181" s="14" t="str">
        <f aca="false">INDEX(Lists!$B$5:$B$12,MATCH(D181,Lists!$A$5:$A$12,0))</f>
        <v>Accessories</v>
      </c>
      <c r="I181" s="32" t="n">
        <f aca="false">INDEX(Lists!$C$5:$C$12,MATCH(D181,Lists!$A$5:$A$12,0))</f>
        <v>80</v>
      </c>
      <c r="J181" s="32" t="n">
        <f aca="false">INDEX(Lists!$D$5:$D$12,MATCH(D181,Lists!$A$5:$A$12,0))</f>
        <v>38</v>
      </c>
      <c r="K181" s="32" t="n">
        <f aca="false">E181*I181*(1-F181)</f>
        <v>152</v>
      </c>
      <c r="L181" s="32" t="n">
        <f aca="false">E181*J181</f>
        <v>76</v>
      </c>
      <c r="M181" s="32" t="n">
        <f aca="false">K181-L181</f>
        <v>76</v>
      </c>
      <c r="N181" s="33" t="n">
        <f aca="false">DATE(YEAR(B181),MONTH(B181),1)</f>
        <v>46082</v>
      </c>
    </row>
    <row r="182" customFormat="false" ht="15" hidden="false" customHeight="false" outlineLevel="0" collapsed="false">
      <c r="A182" s="29" t="s">
        <v>256</v>
      </c>
      <c r="B182" s="30" t="n">
        <v>46101</v>
      </c>
      <c r="C182" s="29" t="s">
        <v>88</v>
      </c>
      <c r="D182" s="29" t="s">
        <v>65</v>
      </c>
      <c r="E182" s="29" t="n">
        <v>8</v>
      </c>
      <c r="F182" s="31" t="n">
        <v>0</v>
      </c>
      <c r="G182" s="14" t="str">
        <f aca="false">INDEX(Lists!$G$5:$G$12,MATCH(C182,Lists!$F$5:$F$12,0))</f>
        <v>North</v>
      </c>
      <c r="H182" s="14" t="str">
        <f aca="false">INDEX(Lists!$B$5:$B$12,MATCH(D182,Lists!$A$5:$A$12,0))</f>
        <v>Accessories</v>
      </c>
      <c r="I182" s="32" t="n">
        <f aca="false">INDEX(Lists!$C$5:$C$12,MATCH(D182,Lists!$A$5:$A$12,0))</f>
        <v>260</v>
      </c>
      <c r="J182" s="32" t="n">
        <f aca="false">INDEX(Lists!$D$5:$D$12,MATCH(D182,Lists!$A$5:$A$12,0))</f>
        <v>150</v>
      </c>
      <c r="K182" s="32" t="n">
        <f aca="false">E182*I182*(1-F182)</f>
        <v>2080</v>
      </c>
      <c r="L182" s="32" t="n">
        <f aca="false">E182*J182</f>
        <v>1200</v>
      </c>
      <c r="M182" s="32" t="n">
        <f aca="false">K182-L182</f>
        <v>880</v>
      </c>
      <c r="N182" s="33" t="n">
        <f aca="false">DATE(YEAR(B182),MONTH(B182),1)</f>
        <v>46082</v>
      </c>
    </row>
    <row r="183" customFormat="false" ht="15" hidden="false" customHeight="false" outlineLevel="0" collapsed="false">
      <c r="A183" s="29" t="s">
        <v>257</v>
      </c>
      <c r="B183" s="30" t="n">
        <v>46106</v>
      </c>
      <c r="C183" s="29" t="s">
        <v>86</v>
      </c>
      <c r="D183" s="29" t="s">
        <v>67</v>
      </c>
      <c r="E183" s="29" t="n">
        <v>10</v>
      </c>
      <c r="F183" s="31" t="n">
        <v>0</v>
      </c>
      <c r="G183" s="14" t="str">
        <f aca="false">INDEX(Lists!$G$5:$G$12,MATCH(C183,Lists!$F$5:$F$12,0))</f>
        <v>North</v>
      </c>
      <c r="H183" s="14" t="str">
        <f aca="false">INDEX(Lists!$B$5:$B$12,MATCH(D183,Lists!$A$5:$A$12,0))</f>
        <v>Accessories</v>
      </c>
      <c r="I183" s="32" t="n">
        <f aca="false">INDEX(Lists!$C$5:$C$12,MATCH(D183,Lists!$A$5:$A$12,0))</f>
        <v>120</v>
      </c>
      <c r="J183" s="32" t="n">
        <f aca="false">INDEX(Lists!$D$5:$D$12,MATCH(D183,Lists!$A$5:$A$12,0))</f>
        <v>62</v>
      </c>
      <c r="K183" s="32" t="n">
        <f aca="false">E183*I183*(1-F183)</f>
        <v>1200</v>
      </c>
      <c r="L183" s="32" t="n">
        <f aca="false">E183*J183</f>
        <v>620</v>
      </c>
      <c r="M183" s="32" t="n">
        <f aca="false">K183-L183</f>
        <v>580</v>
      </c>
      <c r="N183" s="33" t="n">
        <f aca="false">DATE(YEAR(B183),MONTH(B183),1)</f>
        <v>46082</v>
      </c>
    </row>
    <row r="184" customFormat="false" ht="15" hidden="false" customHeight="false" outlineLevel="0" collapsed="false">
      <c r="A184" s="29" t="s">
        <v>258</v>
      </c>
      <c r="B184" s="30" t="n">
        <v>46107</v>
      </c>
      <c r="C184" s="29" t="s">
        <v>88</v>
      </c>
      <c r="D184" s="29" t="s">
        <v>62</v>
      </c>
      <c r="E184" s="29" t="n">
        <v>4</v>
      </c>
      <c r="F184" s="31" t="n">
        <v>0.05</v>
      </c>
      <c r="G184" s="14" t="str">
        <f aca="false">INDEX(Lists!$G$5:$G$12,MATCH(C184,Lists!$F$5:$F$12,0))</f>
        <v>North</v>
      </c>
      <c r="H184" s="14" t="str">
        <f aca="false">INDEX(Lists!$B$5:$B$12,MATCH(D184,Lists!$A$5:$A$12,0))</f>
        <v>Computers</v>
      </c>
      <c r="I184" s="32" t="n">
        <f aca="false">INDEX(Lists!$C$5:$C$12,MATCH(D184,Lists!$A$5:$A$12,0))</f>
        <v>1600</v>
      </c>
      <c r="J184" s="32" t="n">
        <f aca="false">INDEX(Lists!$D$5:$D$12,MATCH(D184,Lists!$A$5:$A$12,0))</f>
        <v>1100</v>
      </c>
      <c r="K184" s="32" t="n">
        <f aca="false">E184*I184*(1-F184)</f>
        <v>6080</v>
      </c>
      <c r="L184" s="32" t="n">
        <f aca="false">E184*J184</f>
        <v>4400</v>
      </c>
      <c r="M184" s="32" t="n">
        <f aca="false">K184-L184</f>
        <v>1680</v>
      </c>
      <c r="N184" s="33" t="n">
        <f aca="false">DATE(YEAR(B184),MONTH(B184),1)</f>
        <v>46082</v>
      </c>
    </row>
    <row r="185" customFormat="false" ht="15" hidden="false" customHeight="false" outlineLevel="0" collapsed="false">
      <c r="A185" s="29" t="s">
        <v>259</v>
      </c>
      <c r="B185" s="30" t="n">
        <v>46108</v>
      </c>
      <c r="C185" s="29" t="s">
        <v>86</v>
      </c>
      <c r="D185" s="29" t="s">
        <v>67</v>
      </c>
      <c r="E185" s="29" t="n">
        <v>19</v>
      </c>
      <c r="F185" s="31" t="n">
        <v>0.05</v>
      </c>
      <c r="G185" s="14" t="str">
        <f aca="false">INDEX(Lists!$G$5:$G$12,MATCH(C185,Lists!$F$5:$F$12,0))</f>
        <v>North</v>
      </c>
      <c r="H185" s="14" t="str">
        <f aca="false">INDEX(Lists!$B$5:$B$12,MATCH(D185,Lists!$A$5:$A$12,0))</f>
        <v>Accessories</v>
      </c>
      <c r="I185" s="32" t="n">
        <f aca="false">INDEX(Lists!$C$5:$C$12,MATCH(D185,Lists!$A$5:$A$12,0))</f>
        <v>120</v>
      </c>
      <c r="J185" s="32" t="n">
        <f aca="false">INDEX(Lists!$D$5:$D$12,MATCH(D185,Lists!$A$5:$A$12,0))</f>
        <v>62</v>
      </c>
      <c r="K185" s="32" t="n">
        <f aca="false">E185*I185*(1-F185)</f>
        <v>2166</v>
      </c>
      <c r="L185" s="32" t="n">
        <f aca="false">E185*J185</f>
        <v>1178</v>
      </c>
      <c r="M185" s="32" t="n">
        <f aca="false">K185-L185</f>
        <v>988</v>
      </c>
      <c r="N185" s="33" t="n">
        <f aca="false">DATE(YEAR(B185),MONTH(B185),1)</f>
        <v>46082</v>
      </c>
    </row>
    <row r="186" customFormat="false" ht="15" hidden="false" customHeight="false" outlineLevel="0" collapsed="false">
      <c r="A186" s="29" t="s">
        <v>260</v>
      </c>
      <c r="B186" s="30" t="n">
        <v>46108</v>
      </c>
      <c r="C186" s="29" t="s">
        <v>64</v>
      </c>
      <c r="D186" s="29" t="s">
        <v>72</v>
      </c>
      <c r="E186" s="29" t="n">
        <v>16</v>
      </c>
      <c r="F186" s="31" t="n">
        <v>0.05</v>
      </c>
      <c r="G186" s="14" t="str">
        <f aca="false">INDEX(Lists!$G$5:$G$12,MATCH(C186,Lists!$F$5:$F$12,0))</f>
        <v>East</v>
      </c>
      <c r="H186" s="14" t="str">
        <f aca="false">INDEX(Lists!$B$5:$B$12,MATCH(D186,Lists!$A$5:$A$12,0))</f>
        <v>Accessories</v>
      </c>
      <c r="I186" s="32" t="n">
        <f aca="false">INDEX(Lists!$C$5:$C$12,MATCH(D186,Lists!$A$5:$A$12,0))</f>
        <v>80</v>
      </c>
      <c r="J186" s="32" t="n">
        <f aca="false">INDEX(Lists!$D$5:$D$12,MATCH(D186,Lists!$A$5:$A$12,0))</f>
        <v>38</v>
      </c>
      <c r="K186" s="32" t="n">
        <f aca="false">E186*I186*(1-F186)</f>
        <v>1216</v>
      </c>
      <c r="L186" s="32" t="n">
        <f aca="false">E186*J186</f>
        <v>608</v>
      </c>
      <c r="M186" s="32" t="n">
        <f aca="false">K186-L186</f>
        <v>608</v>
      </c>
      <c r="N186" s="33" t="n">
        <f aca="false">DATE(YEAR(B186),MONTH(B186),1)</f>
        <v>46082</v>
      </c>
    </row>
    <row r="187" customFormat="false" ht="15" hidden="false" customHeight="false" outlineLevel="0" collapsed="false">
      <c r="A187" s="29" t="s">
        <v>261</v>
      </c>
      <c r="B187" s="30" t="n">
        <v>46110</v>
      </c>
      <c r="C187" s="29" t="s">
        <v>86</v>
      </c>
      <c r="D187" s="29" t="s">
        <v>67</v>
      </c>
      <c r="E187" s="29" t="n">
        <v>4</v>
      </c>
      <c r="F187" s="31" t="n">
        <v>0.05</v>
      </c>
      <c r="G187" s="14" t="str">
        <f aca="false">INDEX(Lists!$G$5:$G$12,MATCH(C187,Lists!$F$5:$F$12,0))</f>
        <v>North</v>
      </c>
      <c r="H187" s="14" t="str">
        <f aca="false">INDEX(Lists!$B$5:$B$12,MATCH(D187,Lists!$A$5:$A$12,0))</f>
        <v>Accessories</v>
      </c>
      <c r="I187" s="32" t="n">
        <f aca="false">INDEX(Lists!$C$5:$C$12,MATCH(D187,Lists!$A$5:$A$12,0))</f>
        <v>120</v>
      </c>
      <c r="J187" s="32" t="n">
        <f aca="false">INDEX(Lists!$D$5:$D$12,MATCH(D187,Lists!$A$5:$A$12,0))</f>
        <v>62</v>
      </c>
      <c r="K187" s="32" t="n">
        <f aca="false">E187*I187*(1-F187)</f>
        <v>456</v>
      </c>
      <c r="L187" s="32" t="n">
        <f aca="false">E187*J187</f>
        <v>248</v>
      </c>
      <c r="M187" s="32" t="n">
        <f aca="false">K187-L187</f>
        <v>208</v>
      </c>
      <c r="N187" s="33" t="n">
        <f aca="false">DATE(YEAR(B187),MONTH(B187),1)</f>
        <v>46082</v>
      </c>
    </row>
    <row r="188" customFormat="false" ht="15" hidden="false" customHeight="false" outlineLevel="0" collapsed="false">
      <c r="A188" s="29" t="s">
        <v>262</v>
      </c>
      <c r="B188" s="30" t="n">
        <v>46112</v>
      </c>
      <c r="C188" s="29" t="s">
        <v>64</v>
      </c>
      <c r="D188" s="29" t="s">
        <v>91</v>
      </c>
      <c r="E188" s="29" t="n">
        <v>3</v>
      </c>
      <c r="F188" s="31" t="n">
        <v>0.1</v>
      </c>
      <c r="G188" s="14" t="str">
        <f aca="false">INDEX(Lists!$G$5:$G$12,MATCH(C188,Lists!$F$5:$F$12,0))</f>
        <v>East</v>
      </c>
      <c r="H188" s="14" t="str">
        <f aca="false">INDEX(Lists!$B$5:$B$12,MATCH(D188,Lists!$A$5:$A$12,0))</f>
        <v>Audio</v>
      </c>
      <c r="I188" s="32" t="n">
        <f aca="false">INDEX(Lists!$C$5:$C$12,MATCH(D188,Lists!$A$5:$A$12,0))</f>
        <v>190</v>
      </c>
      <c r="J188" s="32" t="n">
        <f aca="false">INDEX(Lists!$D$5:$D$12,MATCH(D188,Lists!$A$5:$A$12,0))</f>
        <v>105</v>
      </c>
      <c r="K188" s="32" t="n">
        <f aca="false">E188*I188*(1-F188)</f>
        <v>513</v>
      </c>
      <c r="L188" s="32" t="n">
        <f aca="false">E188*J188</f>
        <v>315</v>
      </c>
      <c r="M188" s="32" t="n">
        <f aca="false">K188-L188</f>
        <v>198</v>
      </c>
      <c r="N188" s="33" t="n">
        <f aca="false">DATE(YEAR(B188),MONTH(B188),1)</f>
        <v>46082</v>
      </c>
    </row>
    <row r="189" customFormat="false" ht="15" hidden="false" customHeight="false" outlineLevel="0" collapsed="false">
      <c r="A189" s="29" t="s">
        <v>263</v>
      </c>
      <c r="B189" s="30" t="n">
        <v>46112</v>
      </c>
      <c r="C189" s="29" t="s">
        <v>74</v>
      </c>
      <c r="D189" s="29" t="s">
        <v>67</v>
      </c>
      <c r="E189" s="29" t="n">
        <v>8</v>
      </c>
      <c r="F189" s="31" t="n">
        <v>0</v>
      </c>
      <c r="G189" s="14" t="str">
        <f aca="false">INDEX(Lists!$G$5:$G$12,MATCH(C189,Lists!$F$5:$F$12,0))</f>
        <v>South</v>
      </c>
      <c r="H189" s="14" t="str">
        <f aca="false">INDEX(Lists!$B$5:$B$12,MATCH(D189,Lists!$A$5:$A$12,0))</f>
        <v>Accessories</v>
      </c>
      <c r="I189" s="32" t="n">
        <f aca="false">INDEX(Lists!$C$5:$C$12,MATCH(D189,Lists!$A$5:$A$12,0))</f>
        <v>120</v>
      </c>
      <c r="J189" s="32" t="n">
        <f aca="false">INDEX(Lists!$D$5:$D$12,MATCH(D189,Lists!$A$5:$A$12,0))</f>
        <v>62</v>
      </c>
      <c r="K189" s="32" t="n">
        <f aca="false">E189*I189*(1-F189)</f>
        <v>960</v>
      </c>
      <c r="L189" s="32" t="n">
        <f aca="false">E189*J189</f>
        <v>496</v>
      </c>
      <c r="M189" s="32" t="n">
        <f aca="false">K189-L189</f>
        <v>464</v>
      </c>
      <c r="N189" s="33" t="n">
        <f aca="false">DATE(YEAR(B189),MONTH(B189),1)</f>
        <v>46082</v>
      </c>
    </row>
    <row r="190" customFormat="false" ht="15" hidden="false" customHeight="false" outlineLevel="0" collapsed="false">
      <c r="A190" s="29" t="s">
        <v>264</v>
      </c>
      <c r="B190" s="30" t="n">
        <v>46112</v>
      </c>
      <c r="C190" s="29" t="s">
        <v>83</v>
      </c>
      <c r="D190" s="29" t="s">
        <v>72</v>
      </c>
      <c r="E190" s="29" t="n">
        <v>17</v>
      </c>
      <c r="F190" s="31" t="n">
        <v>0.05</v>
      </c>
      <c r="G190" s="14" t="str">
        <f aca="false">INDEX(Lists!$G$5:$G$12,MATCH(C190,Lists!$F$5:$F$12,0))</f>
        <v>West</v>
      </c>
      <c r="H190" s="14" t="str">
        <f aca="false">INDEX(Lists!$B$5:$B$12,MATCH(D190,Lists!$A$5:$A$12,0))</f>
        <v>Accessories</v>
      </c>
      <c r="I190" s="32" t="n">
        <f aca="false">INDEX(Lists!$C$5:$C$12,MATCH(D190,Lists!$A$5:$A$12,0))</f>
        <v>80</v>
      </c>
      <c r="J190" s="32" t="n">
        <f aca="false">INDEX(Lists!$D$5:$D$12,MATCH(D190,Lists!$A$5:$A$12,0))</f>
        <v>38</v>
      </c>
      <c r="K190" s="32" t="n">
        <f aca="false">E190*I190*(1-F190)</f>
        <v>1292</v>
      </c>
      <c r="L190" s="32" t="n">
        <f aca="false">E190*J190</f>
        <v>646</v>
      </c>
      <c r="M190" s="32" t="n">
        <f aca="false">K190-L190</f>
        <v>646</v>
      </c>
      <c r="N190" s="33" t="n">
        <f aca="false">DATE(YEAR(B190),MONTH(B190),1)</f>
        <v>46082</v>
      </c>
    </row>
    <row r="191" customFormat="false" ht="15" hidden="false" customHeight="false" outlineLevel="0" collapsed="false">
      <c r="A191" s="29" t="s">
        <v>265</v>
      </c>
      <c r="B191" s="30" t="n">
        <v>46113</v>
      </c>
      <c r="C191" s="29" t="s">
        <v>64</v>
      </c>
      <c r="D191" s="29" t="s">
        <v>72</v>
      </c>
      <c r="E191" s="29" t="n">
        <v>10</v>
      </c>
      <c r="F191" s="31" t="n">
        <v>0</v>
      </c>
      <c r="G191" s="14" t="str">
        <f aca="false">INDEX(Lists!$G$5:$G$12,MATCH(C191,Lists!$F$5:$F$12,0))</f>
        <v>East</v>
      </c>
      <c r="H191" s="14" t="str">
        <f aca="false">INDEX(Lists!$B$5:$B$12,MATCH(D191,Lists!$A$5:$A$12,0))</f>
        <v>Accessories</v>
      </c>
      <c r="I191" s="32" t="n">
        <f aca="false">INDEX(Lists!$C$5:$C$12,MATCH(D191,Lists!$A$5:$A$12,0))</f>
        <v>80</v>
      </c>
      <c r="J191" s="32" t="n">
        <f aca="false">INDEX(Lists!$D$5:$D$12,MATCH(D191,Lists!$A$5:$A$12,0))</f>
        <v>38</v>
      </c>
      <c r="K191" s="32" t="n">
        <f aca="false">E191*I191*(1-F191)</f>
        <v>800</v>
      </c>
      <c r="L191" s="32" t="n">
        <f aca="false">E191*J191</f>
        <v>380</v>
      </c>
      <c r="M191" s="32" t="n">
        <f aca="false">K191-L191</f>
        <v>420</v>
      </c>
      <c r="N191" s="33" t="n">
        <f aca="false">DATE(YEAR(B191),MONTH(B191),1)</f>
        <v>46113</v>
      </c>
    </row>
    <row r="192" customFormat="false" ht="15" hidden="false" customHeight="false" outlineLevel="0" collapsed="false">
      <c r="A192" s="29" t="s">
        <v>266</v>
      </c>
      <c r="B192" s="30" t="n">
        <v>46113</v>
      </c>
      <c r="C192" s="29" t="s">
        <v>64</v>
      </c>
      <c r="D192" s="29" t="s">
        <v>65</v>
      </c>
      <c r="E192" s="29" t="n">
        <v>1</v>
      </c>
      <c r="F192" s="31" t="n">
        <v>0.1</v>
      </c>
      <c r="G192" s="14" t="str">
        <f aca="false">INDEX(Lists!$G$5:$G$12,MATCH(C192,Lists!$F$5:$F$12,0))</f>
        <v>East</v>
      </c>
      <c r="H192" s="14" t="str">
        <f aca="false">INDEX(Lists!$B$5:$B$12,MATCH(D192,Lists!$A$5:$A$12,0))</f>
        <v>Accessories</v>
      </c>
      <c r="I192" s="32" t="n">
        <f aca="false">INDEX(Lists!$C$5:$C$12,MATCH(D192,Lists!$A$5:$A$12,0))</f>
        <v>260</v>
      </c>
      <c r="J192" s="32" t="n">
        <f aca="false">INDEX(Lists!$D$5:$D$12,MATCH(D192,Lists!$A$5:$A$12,0))</f>
        <v>150</v>
      </c>
      <c r="K192" s="32" t="n">
        <f aca="false">E192*I192*(1-F192)</f>
        <v>234</v>
      </c>
      <c r="L192" s="32" t="n">
        <f aca="false">E192*J192</f>
        <v>150</v>
      </c>
      <c r="M192" s="32" t="n">
        <f aca="false">K192-L192</f>
        <v>84</v>
      </c>
      <c r="N192" s="33" t="n">
        <f aca="false">DATE(YEAR(B192),MONTH(B192),1)</f>
        <v>46113</v>
      </c>
    </row>
    <row r="193" customFormat="false" ht="15" hidden="false" customHeight="false" outlineLevel="0" collapsed="false">
      <c r="A193" s="29" t="s">
        <v>267</v>
      </c>
      <c r="B193" s="30" t="n">
        <v>46115</v>
      </c>
      <c r="C193" s="29" t="s">
        <v>64</v>
      </c>
      <c r="D193" s="29" t="s">
        <v>72</v>
      </c>
      <c r="E193" s="29" t="n">
        <v>11</v>
      </c>
      <c r="F193" s="31" t="n">
        <v>0</v>
      </c>
      <c r="G193" s="14" t="str">
        <f aca="false">INDEX(Lists!$G$5:$G$12,MATCH(C193,Lists!$F$5:$F$12,0))</f>
        <v>East</v>
      </c>
      <c r="H193" s="14" t="str">
        <f aca="false">INDEX(Lists!$B$5:$B$12,MATCH(D193,Lists!$A$5:$A$12,0))</f>
        <v>Accessories</v>
      </c>
      <c r="I193" s="32" t="n">
        <f aca="false">INDEX(Lists!$C$5:$C$12,MATCH(D193,Lists!$A$5:$A$12,0))</f>
        <v>80</v>
      </c>
      <c r="J193" s="32" t="n">
        <f aca="false">INDEX(Lists!$D$5:$D$12,MATCH(D193,Lists!$A$5:$A$12,0))</f>
        <v>38</v>
      </c>
      <c r="K193" s="32" t="n">
        <f aca="false">E193*I193*(1-F193)</f>
        <v>880</v>
      </c>
      <c r="L193" s="32" t="n">
        <f aca="false">E193*J193</f>
        <v>418</v>
      </c>
      <c r="M193" s="32" t="n">
        <f aca="false">K193-L193</f>
        <v>462</v>
      </c>
      <c r="N193" s="33" t="n">
        <f aca="false">DATE(YEAR(B193),MONTH(B193),1)</f>
        <v>46113</v>
      </c>
    </row>
    <row r="194" customFormat="false" ht="15" hidden="false" customHeight="false" outlineLevel="0" collapsed="false">
      <c r="A194" s="29" t="s">
        <v>268</v>
      </c>
      <c r="B194" s="30" t="n">
        <v>46116</v>
      </c>
      <c r="C194" s="29" t="s">
        <v>93</v>
      </c>
      <c r="D194" s="29" t="s">
        <v>62</v>
      </c>
      <c r="E194" s="29" t="n">
        <v>3</v>
      </c>
      <c r="F194" s="31" t="n">
        <v>0</v>
      </c>
      <c r="G194" s="14" t="str">
        <f aca="false">INDEX(Lists!$G$5:$G$12,MATCH(C194,Lists!$F$5:$F$12,0))</f>
        <v>West</v>
      </c>
      <c r="H194" s="14" t="str">
        <f aca="false">INDEX(Lists!$B$5:$B$12,MATCH(D194,Lists!$A$5:$A$12,0))</f>
        <v>Computers</v>
      </c>
      <c r="I194" s="32" t="n">
        <f aca="false">INDEX(Lists!$C$5:$C$12,MATCH(D194,Lists!$A$5:$A$12,0))</f>
        <v>1600</v>
      </c>
      <c r="J194" s="32" t="n">
        <f aca="false">INDEX(Lists!$D$5:$D$12,MATCH(D194,Lists!$A$5:$A$12,0))</f>
        <v>1100</v>
      </c>
      <c r="K194" s="32" t="n">
        <f aca="false">E194*I194*(1-F194)</f>
        <v>4800</v>
      </c>
      <c r="L194" s="32" t="n">
        <f aca="false">E194*J194</f>
        <v>3300</v>
      </c>
      <c r="M194" s="32" t="n">
        <f aca="false">K194-L194</f>
        <v>1500</v>
      </c>
      <c r="N194" s="33" t="n">
        <f aca="false">DATE(YEAR(B194),MONTH(B194),1)</f>
        <v>46113</v>
      </c>
    </row>
    <row r="195" customFormat="false" ht="15" hidden="false" customHeight="false" outlineLevel="0" collapsed="false">
      <c r="A195" s="29" t="s">
        <v>269</v>
      </c>
      <c r="B195" s="30" t="n">
        <v>46117</v>
      </c>
      <c r="C195" s="29" t="s">
        <v>74</v>
      </c>
      <c r="D195" s="29" t="s">
        <v>72</v>
      </c>
      <c r="E195" s="29" t="n">
        <v>3</v>
      </c>
      <c r="F195" s="31" t="n">
        <v>0</v>
      </c>
      <c r="G195" s="14" t="str">
        <f aca="false">INDEX(Lists!$G$5:$G$12,MATCH(C195,Lists!$F$5:$F$12,0))</f>
        <v>South</v>
      </c>
      <c r="H195" s="14" t="str">
        <f aca="false">INDEX(Lists!$B$5:$B$12,MATCH(D195,Lists!$A$5:$A$12,0))</f>
        <v>Accessories</v>
      </c>
      <c r="I195" s="32" t="n">
        <f aca="false">INDEX(Lists!$C$5:$C$12,MATCH(D195,Lists!$A$5:$A$12,0))</f>
        <v>80</v>
      </c>
      <c r="J195" s="32" t="n">
        <f aca="false">INDEX(Lists!$D$5:$D$12,MATCH(D195,Lists!$A$5:$A$12,0))</f>
        <v>38</v>
      </c>
      <c r="K195" s="32" t="n">
        <f aca="false">E195*I195*(1-F195)</f>
        <v>240</v>
      </c>
      <c r="L195" s="32" t="n">
        <f aca="false">E195*J195</f>
        <v>114</v>
      </c>
      <c r="M195" s="32" t="n">
        <f aca="false">K195-L195</f>
        <v>126</v>
      </c>
      <c r="N195" s="33" t="n">
        <f aca="false">DATE(YEAR(B195),MONTH(B195),1)</f>
        <v>46113</v>
      </c>
    </row>
    <row r="196" customFormat="false" ht="15" hidden="false" customHeight="false" outlineLevel="0" collapsed="false">
      <c r="A196" s="29" t="s">
        <v>270</v>
      </c>
      <c r="B196" s="30" t="n">
        <v>46119</v>
      </c>
      <c r="C196" s="29" t="s">
        <v>74</v>
      </c>
      <c r="D196" s="29" t="s">
        <v>67</v>
      </c>
      <c r="E196" s="29" t="n">
        <v>10</v>
      </c>
      <c r="F196" s="31" t="n">
        <v>0</v>
      </c>
      <c r="G196" s="14" t="str">
        <f aca="false">INDEX(Lists!$G$5:$G$12,MATCH(C196,Lists!$F$5:$F$12,0))</f>
        <v>South</v>
      </c>
      <c r="H196" s="14" t="str">
        <f aca="false">INDEX(Lists!$B$5:$B$12,MATCH(D196,Lists!$A$5:$A$12,0))</f>
        <v>Accessories</v>
      </c>
      <c r="I196" s="32" t="n">
        <f aca="false">INDEX(Lists!$C$5:$C$12,MATCH(D196,Lists!$A$5:$A$12,0))</f>
        <v>120</v>
      </c>
      <c r="J196" s="32" t="n">
        <f aca="false">INDEX(Lists!$D$5:$D$12,MATCH(D196,Lists!$A$5:$A$12,0))</f>
        <v>62</v>
      </c>
      <c r="K196" s="32" t="n">
        <f aca="false">E196*I196*(1-F196)</f>
        <v>1200</v>
      </c>
      <c r="L196" s="32" t="n">
        <f aca="false">E196*J196</f>
        <v>620</v>
      </c>
      <c r="M196" s="32" t="n">
        <f aca="false">K196-L196</f>
        <v>580</v>
      </c>
      <c r="N196" s="33" t="n">
        <f aca="false">DATE(YEAR(B196),MONTH(B196),1)</f>
        <v>46113</v>
      </c>
    </row>
    <row r="197" customFormat="false" ht="15" hidden="false" customHeight="false" outlineLevel="0" collapsed="false">
      <c r="A197" s="29" t="s">
        <v>271</v>
      </c>
      <c r="B197" s="30" t="n">
        <v>46119</v>
      </c>
      <c r="C197" s="29" t="s">
        <v>93</v>
      </c>
      <c r="D197" s="29" t="s">
        <v>75</v>
      </c>
      <c r="E197" s="29" t="n">
        <v>20</v>
      </c>
      <c r="F197" s="31" t="n">
        <v>0</v>
      </c>
      <c r="G197" s="14" t="str">
        <f aca="false">INDEX(Lists!$G$5:$G$12,MATCH(C197,Lists!$F$5:$F$12,0))</f>
        <v>West</v>
      </c>
      <c r="H197" s="14" t="str">
        <f aca="false">INDEX(Lists!$B$5:$B$12,MATCH(D197,Lists!$A$5:$A$12,0))</f>
        <v>Audio</v>
      </c>
      <c r="I197" s="32" t="n">
        <f aca="false">INDEX(Lists!$C$5:$C$12,MATCH(D197,Lists!$A$5:$A$12,0))</f>
        <v>140</v>
      </c>
      <c r="J197" s="32" t="n">
        <f aca="false">INDEX(Lists!$D$5:$D$12,MATCH(D197,Lists!$A$5:$A$12,0))</f>
        <v>70</v>
      </c>
      <c r="K197" s="32" t="n">
        <f aca="false">E197*I197*(1-F197)</f>
        <v>2800</v>
      </c>
      <c r="L197" s="32" t="n">
        <f aca="false">E197*J197</f>
        <v>1400</v>
      </c>
      <c r="M197" s="32" t="n">
        <f aca="false">K197-L197</f>
        <v>1400</v>
      </c>
      <c r="N197" s="33" t="n">
        <f aca="false">DATE(YEAR(B197),MONTH(B197),1)</f>
        <v>46113</v>
      </c>
    </row>
    <row r="198" customFormat="false" ht="15" hidden="false" customHeight="false" outlineLevel="0" collapsed="false">
      <c r="A198" s="29" t="s">
        <v>272</v>
      </c>
      <c r="B198" s="30" t="n">
        <v>46120</v>
      </c>
      <c r="C198" s="29" t="s">
        <v>88</v>
      </c>
      <c r="D198" s="29" t="s">
        <v>72</v>
      </c>
      <c r="E198" s="29" t="n">
        <v>18</v>
      </c>
      <c r="F198" s="31" t="n">
        <v>0</v>
      </c>
      <c r="G198" s="14" t="str">
        <f aca="false">INDEX(Lists!$G$5:$G$12,MATCH(C198,Lists!$F$5:$F$12,0))</f>
        <v>North</v>
      </c>
      <c r="H198" s="14" t="str">
        <f aca="false">INDEX(Lists!$B$5:$B$12,MATCH(D198,Lists!$A$5:$A$12,0))</f>
        <v>Accessories</v>
      </c>
      <c r="I198" s="32" t="n">
        <f aca="false">INDEX(Lists!$C$5:$C$12,MATCH(D198,Lists!$A$5:$A$12,0))</f>
        <v>80</v>
      </c>
      <c r="J198" s="32" t="n">
        <f aca="false">INDEX(Lists!$D$5:$D$12,MATCH(D198,Lists!$A$5:$A$12,0))</f>
        <v>38</v>
      </c>
      <c r="K198" s="32" t="n">
        <f aca="false">E198*I198*(1-F198)</f>
        <v>1440</v>
      </c>
      <c r="L198" s="32" t="n">
        <f aca="false">E198*J198</f>
        <v>684</v>
      </c>
      <c r="M198" s="32" t="n">
        <f aca="false">K198-L198</f>
        <v>756</v>
      </c>
      <c r="N198" s="33" t="n">
        <f aca="false">DATE(YEAR(B198),MONTH(B198),1)</f>
        <v>46113</v>
      </c>
    </row>
    <row r="199" customFormat="false" ht="15" hidden="false" customHeight="false" outlineLevel="0" collapsed="false">
      <c r="A199" s="29" t="s">
        <v>273</v>
      </c>
      <c r="B199" s="30" t="n">
        <v>46120</v>
      </c>
      <c r="C199" s="29" t="s">
        <v>64</v>
      </c>
      <c r="D199" s="29" t="s">
        <v>65</v>
      </c>
      <c r="E199" s="29" t="n">
        <v>3</v>
      </c>
      <c r="F199" s="31" t="n">
        <v>0.15</v>
      </c>
      <c r="G199" s="14" t="str">
        <f aca="false">INDEX(Lists!$G$5:$G$12,MATCH(C199,Lists!$F$5:$F$12,0))</f>
        <v>East</v>
      </c>
      <c r="H199" s="14" t="str">
        <f aca="false">INDEX(Lists!$B$5:$B$12,MATCH(D199,Lists!$A$5:$A$12,0))</f>
        <v>Accessories</v>
      </c>
      <c r="I199" s="32" t="n">
        <f aca="false">INDEX(Lists!$C$5:$C$12,MATCH(D199,Lists!$A$5:$A$12,0))</f>
        <v>260</v>
      </c>
      <c r="J199" s="32" t="n">
        <f aca="false">INDEX(Lists!$D$5:$D$12,MATCH(D199,Lists!$A$5:$A$12,0))</f>
        <v>150</v>
      </c>
      <c r="K199" s="32" t="n">
        <f aca="false">E199*I199*(1-F199)</f>
        <v>663</v>
      </c>
      <c r="L199" s="32" t="n">
        <f aca="false">E199*J199</f>
        <v>450</v>
      </c>
      <c r="M199" s="32" t="n">
        <f aca="false">K199-L199</f>
        <v>213</v>
      </c>
      <c r="N199" s="33" t="n">
        <f aca="false">DATE(YEAR(B199),MONTH(B199),1)</f>
        <v>46113</v>
      </c>
    </row>
    <row r="200" customFormat="false" ht="15" hidden="false" customHeight="false" outlineLevel="0" collapsed="false">
      <c r="A200" s="29" t="s">
        <v>274</v>
      </c>
      <c r="B200" s="30" t="n">
        <v>46121</v>
      </c>
      <c r="C200" s="29" t="s">
        <v>88</v>
      </c>
      <c r="D200" s="29" t="s">
        <v>72</v>
      </c>
      <c r="E200" s="29" t="n">
        <v>14</v>
      </c>
      <c r="F200" s="31" t="n">
        <v>0.1</v>
      </c>
      <c r="G200" s="14" t="str">
        <f aca="false">INDEX(Lists!$G$5:$G$12,MATCH(C200,Lists!$F$5:$F$12,0))</f>
        <v>North</v>
      </c>
      <c r="H200" s="14" t="str">
        <f aca="false">INDEX(Lists!$B$5:$B$12,MATCH(D200,Lists!$A$5:$A$12,0))</f>
        <v>Accessories</v>
      </c>
      <c r="I200" s="32" t="n">
        <f aca="false">INDEX(Lists!$C$5:$C$12,MATCH(D200,Lists!$A$5:$A$12,0))</f>
        <v>80</v>
      </c>
      <c r="J200" s="32" t="n">
        <f aca="false">INDEX(Lists!$D$5:$D$12,MATCH(D200,Lists!$A$5:$A$12,0))</f>
        <v>38</v>
      </c>
      <c r="K200" s="32" t="n">
        <f aca="false">E200*I200*(1-F200)</f>
        <v>1008</v>
      </c>
      <c r="L200" s="32" t="n">
        <f aca="false">E200*J200</f>
        <v>532</v>
      </c>
      <c r="M200" s="32" t="n">
        <f aca="false">K200-L200</f>
        <v>476</v>
      </c>
      <c r="N200" s="33" t="n">
        <f aca="false">DATE(YEAR(B200),MONTH(B200),1)</f>
        <v>46113</v>
      </c>
    </row>
    <row r="201" customFormat="false" ht="15" hidden="false" customHeight="false" outlineLevel="0" collapsed="false">
      <c r="A201" s="29" t="s">
        <v>275</v>
      </c>
      <c r="B201" s="30" t="n">
        <v>46121</v>
      </c>
      <c r="C201" s="29" t="s">
        <v>86</v>
      </c>
      <c r="D201" s="29" t="s">
        <v>67</v>
      </c>
      <c r="E201" s="29" t="n">
        <v>10</v>
      </c>
      <c r="F201" s="31" t="n">
        <v>0</v>
      </c>
      <c r="G201" s="14" t="str">
        <f aca="false">INDEX(Lists!$G$5:$G$12,MATCH(C201,Lists!$F$5:$F$12,0))</f>
        <v>North</v>
      </c>
      <c r="H201" s="14" t="str">
        <f aca="false">INDEX(Lists!$B$5:$B$12,MATCH(D201,Lists!$A$5:$A$12,0))</f>
        <v>Accessories</v>
      </c>
      <c r="I201" s="32" t="n">
        <f aca="false">INDEX(Lists!$C$5:$C$12,MATCH(D201,Lists!$A$5:$A$12,0))</f>
        <v>120</v>
      </c>
      <c r="J201" s="32" t="n">
        <f aca="false">INDEX(Lists!$D$5:$D$12,MATCH(D201,Lists!$A$5:$A$12,0))</f>
        <v>62</v>
      </c>
      <c r="K201" s="32" t="n">
        <f aca="false">E201*I201*(1-F201)</f>
        <v>1200</v>
      </c>
      <c r="L201" s="32" t="n">
        <f aca="false">E201*J201</f>
        <v>620</v>
      </c>
      <c r="M201" s="32" t="n">
        <f aca="false">K201-L201</f>
        <v>580</v>
      </c>
      <c r="N201" s="33" t="n">
        <f aca="false">DATE(YEAR(B201),MONTH(B201),1)</f>
        <v>46113</v>
      </c>
    </row>
    <row r="202" customFormat="false" ht="15" hidden="false" customHeight="false" outlineLevel="0" collapsed="false">
      <c r="A202" s="29" t="s">
        <v>276</v>
      </c>
      <c r="B202" s="30" t="n">
        <v>46123</v>
      </c>
      <c r="C202" s="29" t="s">
        <v>61</v>
      </c>
      <c r="D202" s="29" t="s">
        <v>70</v>
      </c>
      <c r="E202" s="29" t="n">
        <v>8</v>
      </c>
      <c r="F202" s="31" t="n">
        <v>0</v>
      </c>
      <c r="G202" s="14" t="str">
        <f aca="false">INDEX(Lists!$G$5:$G$12,MATCH(C202,Lists!$F$5:$F$12,0))</f>
        <v>South</v>
      </c>
      <c r="H202" s="14" t="str">
        <f aca="false">INDEX(Lists!$B$5:$B$12,MATCH(D202,Lists!$A$5:$A$12,0))</f>
        <v>Displays</v>
      </c>
      <c r="I202" s="32" t="n">
        <f aca="false">INDEX(Lists!$C$5:$C$12,MATCH(D202,Lists!$A$5:$A$12,0))</f>
        <v>520</v>
      </c>
      <c r="J202" s="32" t="n">
        <f aca="false">INDEX(Lists!$D$5:$D$12,MATCH(D202,Lists!$A$5:$A$12,0))</f>
        <v>340</v>
      </c>
      <c r="K202" s="32" t="n">
        <f aca="false">E202*I202*(1-F202)</f>
        <v>4160</v>
      </c>
      <c r="L202" s="32" t="n">
        <f aca="false">E202*J202</f>
        <v>2720</v>
      </c>
      <c r="M202" s="32" t="n">
        <f aca="false">K202-L202</f>
        <v>1440</v>
      </c>
      <c r="N202" s="33" t="n">
        <f aca="false">DATE(YEAR(B202),MONTH(B202),1)</f>
        <v>46113</v>
      </c>
    </row>
    <row r="203" customFormat="false" ht="15" hidden="false" customHeight="false" outlineLevel="0" collapsed="false">
      <c r="A203" s="29" t="s">
        <v>277</v>
      </c>
      <c r="B203" s="30" t="n">
        <v>46126</v>
      </c>
      <c r="C203" s="29" t="s">
        <v>74</v>
      </c>
      <c r="D203" s="29" t="s">
        <v>70</v>
      </c>
      <c r="E203" s="29" t="n">
        <v>2</v>
      </c>
      <c r="F203" s="31" t="n">
        <v>0</v>
      </c>
      <c r="G203" s="14" t="str">
        <f aca="false">INDEX(Lists!$G$5:$G$12,MATCH(C203,Lists!$F$5:$F$12,0))</f>
        <v>South</v>
      </c>
      <c r="H203" s="14" t="str">
        <f aca="false">INDEX(Lists!$B$5:$B$12,MATCH(D203,Lists!$A$5:$A$12,0))</f>
        <v>Displays</v>
      </c>
      <c r="I203" s="32" t="n">
        <f aca="false">INDEX(Lists!$C$5:$C$12,MATCH(D203,Lists!$A$5:$A$12,0))</f>
        <v>520</v>
      </c>
      <c r="J203" s="32" t="n">
        <f aca="false">INDEX(Lists!$D$5:$D$12,MATCH(D203,Lists!$A$5:$A$12,0))</f>
        <v>340</v>
      </c>
      <c r="K203" s="32" t="n">
        <f aca="false">E203*I203*(1-F203)</f>
        <v>1040</v>
      </c>
      <c r="L203" s="32" t="n">
        <f aca="false">E203*J203</f>
        <v>680</v>
      </c>
      <c r="M203" s="32" t="n">
        <f aca="false">K203-L203</f>
        <v>360</v>
      </c>
      <c r="N203" s="33" t="n">
        <f aca="false">DATE(YEAR(B203),MONTH(B203),1)</f>
        <v>46113</v>
      </c>
    </row>
    <row r="204" customFormat="false" ht="15" hidden="false" customHeight="false" outlineLevel="0" collapsed="false">
      <c r="A204" s="29" t="s">
        <v>278</v>
      </c>
      <c r="B204" s="30" t="n">
        <v>46126</v>
      </c>
      <c r="C204" s="29" t="s">
        <v>88</v>
      </c>
      <c r="D204" s="29" t="s">
        <v>65</v>
      </c>
      <c r="E204" s="29" t="n">
        <v>1</v>
      </c>
      <c r="F204" s="31" t="n">
        <v>0.05</v>
      </c>
      <c r="G204" s="14" t="str">
        <f aca="false">INDEX(Lists!$G$5:$G$12,MATCH(C204,Lists!$F$5:$F$12,0))</f>
        <v>North</v>
      </c>
      <c r="H204" s="14" t="str">
        <f aca="false">INDEX(Lists!$B$5:$B$12,MATCH(D204,Lists!$A$5:$A$12,0))</f>
        <v>Accessories</v>
      </c>
      <c r="I204" s="32" t="n">
        <f aca="false">INDEX(Lists!$C$5:$C$12,MATCH(D204,Lists!$A$5:$A$12,0))</f>
        <v>260</v>
      </c>
      <c r="J204" s="32" t="n">
        <f aca="false">INDEX(Lists!$D$5:$D$12,MATCH(D204,Lists!$A$5:$A$12,0))</f>
        <v>150</v>
      </c>
      <c r="K204" s="32" t="n">
        <f aca="false">E204*I204*(1-F204)</f>
        <v>247</v>
      </c>
      <c r="L204" s="32" t="n">
        <f aca="false">E204*J204</f>
        <v>150</v>
      </c>
      <c r="M204" s="32" t="n">
        <f aca="false">K204-L204</f>
        <v>97</v>
      </c>
      <c r="N204" s="33" t="n">
        <f aca="false">DATE(YEAR(B204),MONTH(B204),1)</f>
        <v>46113</v>
      </c>
    </row>
    <row r="205" customFormat="false" ht="15" hidden="false" customHeight="false" outlineLevel="0" collapsed="false">
      <c r="A205" s="29" t="s">
        <v>279</v>
      </c>
      <c r="B205" s="30" t="n">
        <v>46128</v>
      </c>
      <c r="C205" s="29" t="s">
        <v>74</v>
      </c>
      <c r="D205" s="29" t="s">
        <v>72</v>
      </c>
      <c r="E205" s="29" t="n">
        <v>13</v>
      </c>
      <c r="F205" s="31" t="n">
        <v>0.05</v>
      </c>
      <c r="G205" s="14" t="str">
        <f aca="false">INDEX(Lists!$G$5:$G$12,MATCH(C205,Lists!$F$5:$F$12,0))</f>
        <v>South</v>
      </c>
      <c r="H205" s="14" t="str">
        <f aca="false">INDEX(Lists!$B$5:$B$12,MATCH(D205,Lists!$A$5:$A$12,0))</f>
        <v>Accessories</v>
      </c>
      <c r="I205" s="32" t="n">
        <f aca="false">INDEX(Lists!$C$5:$C$12,MATCH(D205,Lists!$A$5:$A$12,0))</f>
        <v>80</v>
      </c>
      <c r="J205" s="32" t="n">
        <f aca="false">INDEX(Lists!$D$5:$D$12,MATCH(D205,Lists!$A$5:$A$12,0))</f>
        <v>38</v>
      </c>
      <c r="K205" s="32" t="n">
        <f aca="false">E205*I205*(1-F205)</f>
        <v>988</v>
      </c>
      <c r="L205" s="32" t="n">
        <f aca="false">E205*J205</f>
        <v>494</v>
      </c>
      <c r="M205" s="32" t="n">
        <f aca="false">K205-L205</f>
        <v>494</v>
      </c>
      <c r="N205" s="33" t="n">
        <f aca="false">DATE(YEAR(B205),MONTH(B205),1)</f>
        <v>46113</v>
      </c>
    </row>
    <row r="206" customFormat="false" ht="15" hidden="false" customHeight="false" outlineLevel="0" collapsed="false">
      <c r="A206" s="29" t="s">
        <v>280</v>
      </c>
      <c r="B206" s="30" t="n">
        <v>46129</v>
      </c>
      <c r="C206" s="29" t="s">
        <v>74</v>
      </c>
      <c r="D206" s="29" t="s">
        <v>62</v>
      </c>
      <c r="E206" s="29" t="n">
        <v>2</v>
      </c>
      <c r="F206" s="31" t="n">
        <v>0.15</v>
      </c>
      <c r="G206" s="14" t="str">
        <f aca="false">INDEX(Lists!$G$5:$G$12,MATCH(C206,Lists!$F$5:$F$12,0))</f>
        <v>South</v>
      </c>
      <c r="H206" s="14" t="str">
        <f aca="false">INDEX(Lists!$B$5:$B$12,MATCH(D206,Lists!$A$5:$A$12,0))</f>
        <v>Computers</v>
      </c>
      <c r="I206" s="32" t="n">
        <f aca="false">INDEX(Lists!$C$5:$C$12,MATCH(D206,Lists!$A$5:$A$12,0))</f>
        <v>1600</v>
      </c>
      <c r="J206" s="32" t="n">
        <f aca="false">INDEX(Lists!$D$5:$D$12,MATCH(D206,Lists!$A$5:$A$12,0))</f>
        <v>1100</v>
      </c>
      <c r="K206" s="32" t="n">
        <f aca="false">E206*I206*(1-F206)</f>
        <v>2720</v>
      </c>
      <c r="L206" s="32" t="n">
        <f aca="false">E206*J206</f>
        <v>2200</v>
      </c>
      <c r="M206" s="32" t="n">
        <f aca="false">K206-L206</f>
        <v>520</v>
      </c>
      <c r="N206" s="33" t="n">
        <f aca="false">DATE(YEAR(B206),MONTH(B206),1)</f>
        <v>46113</v>
      </c>
    </row>
    <row r="207" customFormat="false" ht="15" hidden="false" customHeight="false" outlineLevel="0" collapsed="false">
      <c r="A207" s="29" t="s">
        <v>281</v>
      </c>
      <c r="B207" s="30" t="n">
        <v>46129</v>
      </c>
      <c r="C207" s="29" t="s">
        <v>86</v>
      </c>
      <c r="D207" s="29" t="s">
        <v>72</v>
      </c>
      <c r="E207" s="29" t="n">
        <v>12</v>
      </c>
      <c r="F207" s="31" t="n">
        <v>0.05</v>
      </c>
      <c r="G207" s="14" t="str">
        <f aca="false">INDEX(Lists!$G$5:$G$12,MATCH(C207,Lists!$F$5:$F$12,0))</f>
        <v>North</v>
      </c>
      <c r="H207" s="14" t="str">
        <f aca="false">INDEX(Lists!$B$5:$B$12,MATCH(D207,Lists!$A$5:$A$12,0))</f>
        <v>Accessories</v>
      </c>
      <c r="I207" s="32" t="n">
        <f aca="false">INDEX(Lists!$C$5:$C$12,MATCH(D207,Lists!$A$5:$A$12,0))</f>
        <v>80</v>
      </c>
      <c r="J207" s="32" t="n">
        <f aca="false">INDEX(Lists!$D$5:$D$12,MATCH(D207,Lists!$A$5:$A$12,0))</f>
        <v>38</v>
      </c>
      <c r="K207" s="32" t="n">
        <f aca="false">E207*I207*(1-F207)</f>
        <v>912</v>
      </c>
      <c r="L207" s="32" t="n">
        <f aca="false">E207*J207</f>
        <v>456</v>
      </c>
      <c r="M207" s="32" t="n">
        <f aca="false">K207-L207</f>
        <v>456</v>
      </c>
      <c r="N207" s="33" t="n">
        <f aca="false">DATE(YEAR(B207),MONTH(B207),1)</f>
        <v>46113</v>
      </c>
    </row>
    <row r="208" customFormat="false" ht="15" hidden="false" customHeight="false" outlineLevel="0" collapsed="false">
      <c r="A208" s="29" t="s">
        <v>282</v>
      </c>
      <c r="B208" s="30" t="n">
        <v>46130</v>
      </c>
      <c r="C208" s="29" t="s">
        <v>61</v>
      </c>
      <c r="D208" s="29" t="s">
        <v>72</v>
      </c>
      <c r="E208" s="29" t="n">
        <v>20</v>
      </c>
      <c r="F208" s="31" t="n">
        <v>0.05</v>
      </c>
      <c r="G208" s="14" t="str">
        <f aca="false">INDEX(Lists!$G$5:$G$12,MATCH(C208,Lists!$F$5:$F$12,0))</f>
        <v>South</v>
      </c>
      <c r="H208" s="14" t="str">
        <f aca="false">INDEX(Lists!$B$5:$B$12,MATCH(D208,Lists!$A$5:$A$12,0))</f>
        <v>Accessories</v>
      </c>
      <c r="I208" s="32" t="n">
        <f aca="false">INDEX(Lists!$C$5:$C$12,MATCH(D208,Lists!$A$5:$A$12,0))</f>
        <v>80</v>
      </c>
      <c r="J208" s="32" t="n">
        <f aca="false">INDEX(Lists!$D$5:$D$12,MATCH(D208,Lists!$A$5:$A$12,0))</f>
        <v>38</v>
      </c>
      <c r="K208" s="32" t="n">
        <f aca="false">E208*I208*(1-F208)</f>
        <v>1520</v>
      </c>
      <c r="L208" s="32" t="n">
        <f aca="false">E208*J208</f>
        <v>760</v>
      </c>
      <c r="M208" s="32" t="n">
        <f aca="false">K208-L208</f>
        <v>760</v>
      </c>
      <c r="N208" s="33" t="n">
        <f aca="false">DATE(YEAR(B208),MONTH(B208),1)</f>
        <v>46113</v>
      </c>
    </row>
    <row r="209" customFormat="false" ht="15" hidden="false" customHeight="false" outlineLevel="0" collapsed="false">
      <c r="A209" s="29" t="s">
        <v>283</v>
      </c>
      <c r="B209" s="30" t="n">
        <v>46130</v>
      </c>
      <c r="C209" s="29" t="s">
        <v>83</v>
      </c>
      <c r="D209" s="29" t="s">
        <v>70</v>
      </c>
      <c r="E209" s="29" t="n">
        <v>4</v>
      </c>
      <c r="F209" s="31" t="n">
        <v>0</v>
      </c>
      <c r="G209" s="14" t="str">
        <f aca="false">INDEX(Lists!$G$5:$G$12,MATCH(C209,Lists!$F$5:$F$12,0))</f>
        <v>West</v>
      </c>
      <c r="H209" s="14" t="str">
        <f aca="false">INDEX(Lists!$B$5:$B$12,MATCH(D209,Lists!$A$5:$A$12,0))</f>
        <v>Displays</v>
      </c>
      <c r="I209" s="32" t="n">
        <f aca="false">INDEX(Lists!$C$5:$C$12,MATCH(D209,Lists!$A$5:$A$12,0))</f>
        <v>520</v>
      </c>
      <c r="J209" s="32" t="n">
        <f aca="false">INDEX(Lists!$D$5:$D$12,MATCH(D209,Lists!$A$5:$A$12,0))</f>
        <v>340</v>
      </c>
      <c r="K209" s="32" t="n">
        <f aca="false">E209*I209*(1-F209)</f>
        <v>2080</v>
      </c>
      <c r="L209" s="32" t="n">
        <f aca="false">E209*J209</f>
        <v>1360</v>
      </c>
      <c r="M209" s="32" t="n">
        <f aca="false">K209-L209</f>
        <v>720</v>
      </c>
      <c r="N209" s="33" t="n">
        <f aca="false">DATE(YEAR(B209),MONTH(B209),1)</f>
        <v>46113</v>
      </c>
    </row>
    <row r="210" customFormat="false" ht="15" hidden="false" customHeight="false" outlineLevel="0" collapsed="false">
      <c r="A210" s="29" t="s">
        <v>284</v>
      </c>
      <c r="B210" s="30" t="n">
        <v>46133</v>
      </c>
      <c r="C210" s="29" t="s">
        <v>83</v>
      </c>
      <c r="D210" s="29" t="s">
        <v>65</v>
      </c>
      <c r="E210" s="29" t="n">
        <v>4</v>
      </c>
      <c r="F210" s="31" t="n">
        <v>0.15</v>
      </c>
      <c r="G210" s="14" t="str">
        <f aca="false">INDEX(Lists!$G$5:$G$12,MATCH(C210,Lists!$F$5:$F$12,0))</f>
        <v>West</v>
      </c>
      <c r="H210" s="14" t="str">
        <f aca="false">INDEX(Lists!$B$5:$B$12,MATCH(D210,Lists!$A$5:$A$12,0))</f>
        <v>Accessories</v>
      </c>
      <c r="I210" s="32" t="n">
        <f aca="false">INDEX(Lists!$C$5:$C$12,MATCH(D210,Lists!$A$5:$A$12,0))</f>
        <v>260</v>
      </c>
      <c r="J210" s="32" t="n">
        <f aca="false">INDEX(Lists!$D$5:$D$12,MATCH(D210,Lists!$A$5:$A$12,0))</f>
        <v>150</v>
      </c>
      <c r="K210" s="32" t="n">
        <f aca="false">E210*I210*(1-F210)</f>
        <v>884</v>
      </c>
      <c r="L210" s="32" t="n">
        <f aca="false">E210*J210</f>
        <v>600</v>
      </c>
      <c r="M210" s="32" t="n">
        <f aca="false">K210-L210</f>
        <v>284</v>
      </c>
      <c r="N210" s="33" t="n">
        <f aca="false">DATE(YEAR(B210),MONTH(B210),1)</f>
        <v>46113</v>
      </c>
    </row>
    <row r="211" customFormat="false" ht="15" hidden="false" customHeight="false" outlineLevel="0" collapsed="false">
      <c r="A211" s="29" t="s">
        <v>285</v>
      </c>
      <c r="B211" s="30" t="n">
        <v>46134</v>
      </c>
      <c r="C211" s="29" t="s">
        <v>83</v>
      </c>
      <c r="D211" s="29" t="s">
        <v>65</v>
      </c>
      <c r="E211" s="29" t="n">
        <v>5</v>
      </c>
      <c r="F211" s="31" t="n">
        <v>0.05</v>
      </c>
      <c r="G211" s="14" t="str">
        <f aca="false">INDEX(Lists!$G$5:$G$12,MATCH(C211,Lists!$F$5:$F$12,0))</f>
        <v>West</v>
      </c>
      <c r="H211" s="14" t="str">
        <f aca="false">INDEX(Lists!$B$5:$B$12,MATCH(D211,Lists!$A$5:$A$12,0))</f>
        <v>Accessories</v>
      </c>
      <c r="I211" s="32" t="n">
        <f aca="false">INDEX(Lists!$C$5:$C$12,MATCH(D211,Lists!$A$5:$A$12,0))</f>
        <v>260</v>
      </c>
      <c r="J211" s="32" t="n">
        <f aca="false">INDEX(Lists!$D$5:$D$12,MATCH(D211,Lists!$A$5:$A$12,0))</f>
        <v>150</v>
      </c>
      <c r="K211" s="32" t="n">
        <f aca="false">E211*I211*(1-F211)</f>
        <v>1235</v>
      </c>
      <c r="L211" s="32" t="n">
        <f aca="false">E211*J211</f>
        <v>750</v>
      </c>
      <c r="M211" s="32" t="n">
        <f aca="false">K211-L211</f>
        <v>485</v>
      </c>
      <c r="N211" s="33" t="n">
        <f aca="false">DATE(YEAR(B211),MONTH(B211),1)</f>
        <v>46113</v>
      </c>
    </row>
    <row r="212" customFormat="false" ht="15" hidden="false" customHeight="false" outlineLevel="0" collapsed="false">
      <c r="A212" s="29" t="s">
        <v>286</v>
      </c>
      <c r="B212" s="30" t="n">
        <v>46135</v>
      </c>
      <c r="C212" s="29" t="s">
        <v>93</v>
      </c>
      <c r="D212" s="29" t="s">
        <v>72</v>
      </c>
      <c r="E212" s="29" t="n">
        <v>7</v>
      </c>
      <c r="F212" s="31" t="n">
        <v>0</v>
      </c>
      <c r="G212" s="14" t="str">
        <f aca="false">INDEX(Lists!$G$5:$G$12,MATCH(C212,Lists!$F$5:$F$12,0))</f>
        <v>West</v>
      </c>
      <c r="H212" s="14" t="str">
        <f aca="false">INDEX(Lists!$B$5:$B$12,MATCH(D212,Lists!$A$5:$A$12,0))</f>
        <v>Accessories</v>
      </c>
      <c r="I212" s="32" t="n">
        <f aca="false">INDEX(Lists!$C$5:$C$12,MATCH(D212,Lists!$A$5:$A$12,0))</f>
        <v>80</v>
      </c>
      <c r="J212" s="32" t="n">
        <f aca="false">INDEX(Lists!$D$5:$D$12,MATCH(D212,Lists!$A$5:$A$12,0))</f>
        <v>38</v>
      </c>
      <c r="K212" s="32" t="n">
        <f aca="false">E212*I212*(1-F212)</f>
        <v>560</v>
      </c>
      <c r="L212" s="32" t="n">
        <f aca="false">E212*J212</f>
        <v>266</v>
      </c>
      <c r="M212" s="32" t="n">
        <f aca="false">K212-L212</f>
        <v>294</v>
      </c>
      <c r="N212" s="33" t="n">
        <f aca="false">DATE(YEAR(B212),MONTH(B212),1)</f>
        <v>46113</v>
      </c>
    </row>
    <row r="213" customFormat="false" ht="15" hidden="false" customHeight="false" outlineLevel="0" collapsed="false">
      <c r="A213" s="29" t="s">
        <v>287</v>
      </c>
      <c r="B213" s="30" t="n">
        <v>46136</v>
      </c>
      <c r="C213" s="29" t="s">
        <v>74</v>
      </c>
      <c r="D213" s="29" t="s">
        <v>72</v>
      </c>
      <c r="E213" s="29" t="n">
        <v>9</v>
      </c>
      <c r="F213" s="31" t="n">
        <v>0.15</v>
      </c>
      <c r="G213" s="14" t="str">
        <f aca="false">INDEX(Lists!$G$5:$G$12,MATCH(C213,Lists!$F$5:$F$12,0))</f>
        <v>South</v>
      </c>
      <c r="H213" s="14" t="str">
        <f aca="false">INDEX(Lists!$B$5:$B$12,MATCH(D213,Lists!$A$5:$A$12,0))</f>
        <v>Accessories</v>
      </c>
      <c r="I213" s="32" t="n">
        <f aca="false">INDEX(Lists!$C$5:$C$12,MATCH(D213,Lists!$A$5:$A$12,0))</f>
        <v>80</v>
      </c>
      <c r="J213" s="32" t="n">
        <f aca="false">INDEX(Lists!$D$5:$D$12,MATCH(D213,Lists!$A$5:$A$12,0))</f>
        <v>38</v>
      </c>
      <c r="K213" s="32" t="n">
        <f aca="false">E213*I213*(1-F213)</f>
        <v>612</v>
      </c>
      <c r="L213" s="32" t="n">
        <f aca="false">E213*J213</f>
        <v>342</v>
      </c>
      <c r="M213" s="32" t="n">
        <f aca="false">K213-L213</f>
        <v>270</v>
      </c>
      <c r="N213" s="33" t="n">
        <f aca="false">DATE(YEAR(B213),MONTH(B213),1)</f>
        <v>46113</v>
      </c>
    </row>
    <row r="214" customFormat="false" ht="15" hidden="false" customHeight="false" outlineLevel="0" collapsed="false">
      <c r="A214" s="29" t="s">
        <v>288</v>
      </c>
      <c r="B214" s="30" t="n">
        <v>46136</v>
      </c>
      <c r="C214" s="29" t="s">
        <v>83</v>
      </c>
      <c r="D214" s="29" t="s">
        <v>80</v>
      </c>
      <c r="E214" s="29" t="n">
        <v>3</v>
      </c>
      <c r="F214" s="31" t="n">
        <v>0.15</v>
      </c>
      <c r="G214" s="14" t="str">
        <f aca="false">INDEX(Lists!$G$5:$G$12,MATCH(C214,Lists!$F$5:$F$12,0))</f>
        <v>West</v>
      </c>
      <c r="H214" s="14" t="str">
        <f aca="false">INDEX(Lists!$B$5:$B$12,MATCH(D214,Lists!$A$5:$A$12,0))</f>
        <v>Computers</v>
      </c>
      <c r="I214" s="32" t="n">
        <f aca="false">INDEX(Lists!$C$5:$C$12,MATCH(D214,Lists!$A$5:$A$12,0))</f>
        <v>2400</v>
      </c>
      <c r="J214" s="32" t="n">
        <f aca="false">INDEX(Lists!$D$5:$D$12,MATCH(D214,Lists!$A$5:$A$12,0))</f>
        <v>1650</v>
      </c>
      <c r="K214" s="32" t="n">
        <f aca="false">E214*I214*(1-F214)</f>
        <v>6120</v>
      </c>
      <c r="L214" s="32" t="n">
        <f aca="false">E214*J214</f>
        <v>4950</v>
      </c>
      <c r="M214" s="32" t="n">
        <f aca="false">K214-L214</f>
        <v>1170</v>
      </c>
      <c r="N214" s="33" t="n">
        <f aca="false">DATE(YEAR(B214),MONTH(B214),1)</f>
        <v>46113</v>
      </c>
    </row>
    <row r="215" customFormat="false" ht="15" hidden="false" customHeight="false" outlineLevel="0" collapsed="false">
      <c r="A215" s="29" t="s">
        <v>289</v>
      </c>
      <c r="B215" s="30" t="n">
        <v>46137</v>
      </c>
      <c r="C215" s="29" t="s">
        <v>88</v>
      </c>
      <c r="D215" s="29" t="s">
        <v>67</v>
      </c>
      <c r="E215" s="29" t="n">
        <v>17</v>
      </c>
      <c r="F215" s="31" t="n">
        <v>0.1</v>
      </c>
      <c r="G215" s="14" t="str">
        <f aca="false">INDEX(Lists!$G$5:$G$12,MATCH(C215,Lists!$F$5:$F$12,0))</f>
        <v>North</v>
      </c>
      <c r="H215" s="14" t="str">
        <f aca="false">INDEX(Lists!$B$5:$B$12,MATCH(D215,Lists!$A$5:$A$12,0))</f>
        <v>Accessories</v>
      </c>
      <c r="I215" s="32" t="n">
        <f aca="false">INDEX(Lists!$C$5:$C$12,MATCH(D215,Lists!$A$5:$A$12,0))</f>
        <v>120</v>
      </c>
      <c r="J215" s="32" t="n">
        <f aca="false">INDEX(Lists!$D$5:$D$12,MATCH(D215,Lists!$A$5:$A$12,0))</f>
        <v>62</v>
      </c>
      <c r="K215" s="32" t="n">
        <f aca="false">E215*I215*(1-F215)</f>
        <v>1836</v>
      </c>
      <c r="L215" s="32" t="n">
        <f aca="false">E215*J215</f>
        <v>1054</v>
      </c>
      <c r="M215" s="32" t="n">
        <f aca="false">K215-L215</f>
        <v>782</v>
      </c>
      <c r="N215" s="33" t="n">
        <f aca="false">DATE(YEAR(B215),MONTH(B215),1)</f>
        <v>46113</v>
      </c>
    </row>
    <row r="216" customFormat="false" ht="15" hidden="false" customHeight="false" outlineLevel="0" collapsed="false">
      <c r="A216" s="29" t="s">
        <v>290</v>
      </c>
      <c r="B216" s="30" t="n">
        <v>46138</v>
      </c>
      <c r="C216" s="29" t="s">
        <v>69</v>
      </c>
      <c r="D216" s="29" t="s">
        <v>91</v>
      </c>
      <c r="E216" s="29" t="n">
        <v>6</v>
      </c>
      <c r="F216" s="31" t="n">
        <v>0</v>
      </c>
      <c r="G216" s="14" t="str">
        <f aca="false">INDEX(Lists!$G$5:$G$12,MATCH(C216,Lists!$F$5:$F$12,0))</f>
        <v>East</v>
      </c>
      <c r="H216" s="14" t="str">
        <f aca="false">INDEX(Lists!$B$5:$B$12,MATCH(D216,Lists!$A$5:$A$12,0))</f>
        <v>Audio</v>
      </c>
      <c r="I216" s="32" t="n">
        <f aca="false">INDEX(Lists!$C$5:$C$12,MATCH(D216,Lists!$A$5:$A$12,0))</f>
        <v>190</v>
      </c>
      <c r="J216" s="32" t="n">
        <f aca="false">INDEX(Lists!$D$5:$D$12,MATCH(D216,Lists!$A$5:$A$12,0))</f>
        <v>105</v>
      </c>
      <c r="K216" s="32" t="n">
        <f aca="false">E216*I216*(1-F216)</f>
        <v>1140</v>
      </c>
      <c r="L216" s="32" t="n">
        <f aca="false">E216*J216</f>
        <v>630</v>
      </c>
      <c r="M216" s="32" t="n">
        <f aca="false">K216-L216</f>
        <v>510</v>
      </c>
      <c r="N216" s="33" t="n">
        <f aca="false">DATE(YEAR(B216),MONTH(B216),1)</f>
        <v>46113</v>
      </c>
    </row>
    <row r="217" customFormat="false" ht="15" hidden="false" customHeight="false" outlineLevel="0" collapsed="false">
      <c r="A217" s="29" t="s">
        <v>291</v>
      </c>
      <c r="B217" s="30" t="n">
        <v>46138</v>
      </c>
      <c r="C217" s="29" t="s">
        <v>74</v>
      </c>
      <c r="D217" s="29" t="s">
        <v>70</v>
      </c>
      <c r="E217" s="29" t="n">
        <v>7</v>
      </c>
      <c r="F217" s="31" t="n">
        <v>0.15</v>
      </c>
      <c r="G217" s="14" t="str">
        <f aca="false">INDEX(Lists!$G$5:$G$12,MATCH(C217,Lists!$F$5:$F$12,0))</f>
        <v>South</v>
      </c>
      <c r="H217" s="14" t="str">
        <f aca="false">INDEX(Lists!$B$5:$B$12,MATCH(D217,Lists!$A$5:$A$12,0))</f>
        <v>Displays</v>
      </c>
      <c r="I217" s="32" t="n">
        <f aca="false">INDEX(Lists!$C$5:$C$12,MATCH(D217,Lists!$A$5:$A$12,0))</f>
        <v>520</v>
      </c>
      <c r="J217" s="32" t="n">
        <f aca="false">INDEX(Lists!$D$5:$D$12,MATCH(D217,Lists!$A$5:$A$12,0))</f>
        <v>340</v>
      </c>
      <c r="K217" s="32" t="n">
        <f aca="false">E217*I217*(1-F217)</f>
        <v>3094</v>
      </c>
      <c r="L217" s="32" t="n">
        <f aca="false">E217*J217</f>
        <v>2380</v>
      </c>
      <c r="M217" s="32" t="n">
        <f aca="false">K217-L217</f>
        <v>714</v>
      </c>
      <c r="N217" s="33" t="n">
        <f aca="false">DATE(YEAR(B217),MONTH(B217),1)</f>
        <v>46113</v>
      </c>
    </row>
    <row r="218" customFormat="false" ht="15" hidden="false" customHeight="false" outlineLevel="0" collapsed="false">
      <c r="A218" s="29" t="s">
        <v>292</v>
      </c>
      <c r="B218" s="30" t="n">
        <v>46139</v>
      </c>
      <c r="C218" s="29" t="s">
        <v>61</v>
      </c>
      <c r="D218" s="29" t="s">
        <v>62</v>
      </c>
      <c r="E218" s="29" t="n">
        <v>4</v>
      </c>
      <c r="F218" s="31" t="n">
        <v>0.15</v>
      </c>
      <c r="G218" s="14" t="str">
        <f aca="false">INDEX(Lists!$G$5:$G$12,MATCH(C218,Lists!$F$5:$F$12,0))</f>
        <v>South</v>
      </c>
      <c r="H218" s="14" t="str">
        <f aca="false">INDEX(Lists!$B$5:$B$12,MATCH(D218,Lists!$A$5:$A$12,0))</f>
        <v>Computers</v>
      </c>
      <c r="I218" s="32" t="n">
        <f aca="false">INDEX(Lists!$C$5:$C$12,MATCH(D218,Lists!$A$5:$A$12,0))</f>
        <v>1600</v>
      </c>
      <c r="J218" s="32" t="n">
        <f aca="false">INDEX(Lists!$D$5:$D$12,MATCH(D218,Lists!$A$5:$A$12,0))</f>
        <v>1100</v>
      </c>
      <c r="K218" s="32" t="n">
        <f aca="false">E218*I218*(1-F218)</f>
        <v>5440</v>
      </c>
      <c r="L218" s="32" t="n">
        <f aca="false">E218*J218</f>
        <v>4400</v>
      </c>
      <c r="M218" s="32" t="n">
        <f aca="false">K218-L218</f>
        <v>1040</v>
      </c>
      <c r="N218" s="33" t="n">
        <f aca="false">DATE(YEAR(B218),MONTH(B218),1)</f>
        <v>46113</v>
      </c>
    </row>
    <row r="219" customFormat="false" ht="15" hidden="false" customHeight="false" outlineLevel="0" collapsed="false">
      <c r="A219" s="29" t="s">
        <v>293</v>
      </c>
      <c r="B219" s="30" t="n">
        <v>46140</v>
      </c>
      <c r="C219" s="29" t="s">
        <v>86</v>
      </c>
      <c r="D219" s="29" t="s">
        <v>91</v>
      </c>
      <c r="E219" s="29" t="n">
        <v>2</v>
      </c>
      <c r="F219" s="31" t="n">
        <v>0.05</v>
      </c>
      <c r="G219" s="14" t="str">
        <f aca="false">INDEX(Lists!$G$5:$G$12,MATCH(C219,Lists!$F$5:$F$12,0))</f>
        <v>North</v>
      </c>
      <c r="H219" s="14" t="str">
        <f aca="false">INDEX(Lists!$B$5:$B$12,MATCH(D219,Lists!$A$5:$A$12,0))</f>
        <v>Audio</v>
      </c>
      <c r="I219" s="32" t="n">
        <f aca="false">INDEX(Lists!$C$5:$C$12,MATCH(D219,Lists!$A$5:$A$12,0))</f>
        <v>190</v>
      </c>
      <c r="J219" s="32" t="n">
        <f aca="false">INDEX(Lists!$D$5:$D$12,MATCH(D219,Lists!$A$5:$A$12,0))</f>
        <v>105</v>
      </c>
      <c r="K219" s="32" t="n">
        <f aca="false">E219*I219*(1-F219)</f>
        <v>361</v>
      </c>
      <c r="L219" s="32" t="n">
        <f aca="false">E219*J219</f>
        <v>210</v>
      </c>
      <c r="M219" s="32" t="n">
        <f aca="false">K219-L219</f>
        <v>151</v>
      </c>
      <c r="N219" s="33" t="n">
        <f aca="false">DATE(YEAR(B219),MONTH(B219),1)</f>
        <v>46113</v>
      </c>
    </row>
    <row r="220" customFormat="false" ht="15" hidden="false" customHeight="false" outlineLevel="0" collapsed="false">
      <c r="A220" s="29" t="s">
        <v>294</v>
      </c>
      <c r="B220" s="30" t="n">
        <v>46142</v>
      </c>
      <c r="C220" s="29" t="s">
        <v>64</v>
      </c>
      <c r="D220" s="29" t="s">
        <v>67</v>
      </c>
      <c r="E220" s="29" t="n">
        <v>13</v>
      </c>
      <c r="F220" s="31" t="n">
        <v>0</v>
      </c>
      <c r="G220" s="14" t="str">
        <f aca="false">INDEX(Lists!$G$5:$G$12,MATCH(C220,Lists!$F$5:$F$12,0))</f>
        <v>East</v>
      </c>
      <c r="H220" s="14" t="str">
        <f aca="false">INDEX(Lists!$B$5:$B$12,MATCH(D220,Lists!$A$5:$A$12,0))</f>
        <v>Accessories</v>
      </c>
      <c r="I220" s="32" t="n">
        <f aca="false">INDEX(Lists!$C$5:$C$12,MATCH(D220,Lists!$A$5:$A$12,0))</f>
        <v>120</v>
      </c>
      <c r="J220" s="32" t="n">
        <f aca="false">INDEX(Lists!$D$5:$D$12,MATCH(D220,Lists!$A$5:$A$12,0))</f>
        <v>62</v>
      </c>
      <c r="K220" s="32" t="n">
        <f aca="false">E220*I220*(1-F220)</f>
        <v>1560</v>
      </c>
      <c r="L220" s="32" t="n">
        <f aca="false">E220*J220</f>
        <v>806</v>
      </c>
      <c r="M220" s="32" t="n">
        <f aca="false">K220-L220</f>
        <v>754</v>
      </c>
      <c r="N220" s="33" t="n">
        <f aca="false">DATE(YEAR(B220),MONTH(B220),1)</f>
        <v>46113</v>
      </c>
    </row>
    <row r="221" customFormat="false" ht="15" hidden="false" customHeight="false" outlineLevel="0" collapsed="false">
      <c r="A221" s="29" t="s">
        <v>295</v>
      </c>
      <c r="B221" s="30" t="n">
        <v>46143</v>
      </c>
      <c r="C221" s="29" t="s">
        <v>64</v>
      </c>
      <c r="D221" s="29" t="s">
        <v>75</v>
      </c>
      <c r="E221" s="29" t="n">
        <v>1</v>
      </c>
      <c r="F221" s="31" t="n">
        <v>0</v>
      </c>
      <c r="G221" s="14" t="str">
        <f aca="false">INDEX(Lists!$G$5:$G$12,MATCH(C221,Lists!$F$5:$F$12,0))</f>
        <v>East</v>
      </c>
      <c r="H221" s="14" t="str">
        <f aca="false">INDEX(Lists!$B$5:$B$12,MATCH(D221,Lists!$A$5:$A$12,0))</f>
        <v>Audio</v>
      </c>
      <c r="I221" s="32" t="n">
        <f aca="false">INDEX(Lists!$C$5:$C$12,MATCH(D221,Lists!$A$5:$A$12,0))</f>
        <v>140</v>
      </c>
      <c r="J221" s="32" t="n">
        <f aca="false">INDEX(Lists!$D$5:$D$12,MATCH(D221,Lists!$A$5:$A$12,0))</f>
        <v>70</v>
      </c>
      <c r="K221" s="32" t="n">
        <f aca="false">E221*I221*(1-F221)</f>
        <v>140</v>
      </c>
      <c r="L221" s="32" t="n">
        <f aca="false">E221*J221</f>
        <v>70</v>
      </c>
      <c r="M221" s="32" t="n">
        <f aca="false">K221-L221</f>
        <v>70</v>
      </c>
      <c r="N221" s="33" t="n">
        <f aca="false">DATE(YEAR(B221),MONTH(B221),1)</f>
        <v>46143</v>
      </c>
    </row>
    <row r="222" customFormat="false" ht="15" hidden="false" customHeight="false" outlineLevel="0" collapsed="false">
      <c r="A222" s="29" t="s">
        <v>296</v>
      </c>
      <c r="B222" s="30" t="n">
        <v>46143</v>
      </c>
      <c r="C222" s="29" t="s">
        <v>88</v>
      </c>
      <c r="D222" s="29" t="s">
        <v>65</v>
      </c>
      <c r="E222" s="29" t="n">
        <v>6</v>
      </c>
      <c r="F222" s="31" t="n">
        <v>0.15</v>
      </c>
      <c r="G222" s="14" t="str">
        <f aca="false">INDEX(Lists!$G$5:$G$12,MATCH(C222,Lists!$F$5:$F$12,0))</f>
        <v>North</v>
      </c>
      <c r="H222" s="14" t="str">
        <f aca="false">INDEX(Lists!$B$5:$B$12,MATCH(D222,Lists!$A$5:$A$12,0))</f>
        <v>Accessories</v>
      </c>
      <c r="I222" s="32" t="n">
        <f aca="false">INDEX(Lists!$C$5:$C$12,MATCH(D222,Lists!$A$5:$A$12,0))</f>
        <v>260</v>
      </c>
      <c r="J222" s="32" t="n">
        <f aca="false">INDEX(Lists!$D$5:$D$12,MATCH(D222,Lists!$A$5:$A$12,0))</f>
        <v>150</v>
      </c>
      <c r="K222" s="32" t="n">
        <f aca="false">E222*I222*(1-F222)</f>
        <v>1326</v>
      </c>
      <c r="L222" s="32" t="n">
        <f aca="false">E222*J222</f>
        <v>900</v>
      </c>
      <c r="M222" s="32" t="n">
        <f aca="false">K222-L222</f>
        <v>426</v>
      </c>
      <c r="N222" s="33" t="n">
        <f aca="false">DATE(YEAR(B222),MONTH(B222),1)</f>
        <v>46143</v>
      </c>
    </row>
    <row r="223" customFormat="false" ht="15" hidden="false" customHeight="false" outlineLevel="0" collapsed="false">
      <c r="A223" s="29" t="s">
        <v>297</v>
      </c>
      <c r="B223" s="30" t="n">
        <v>46144</v>
      </c>
      <c r="C223" s="29" t="s">
        <v>74</v>
      </c>
      <c r="D223" s="29" t="s">
        <v>72</v>
      </c>
      <c r="E223" s="29" t="n">
        <v>10</v>
      </c>
      <c r="F223" s="31" t="n">
        <v>0</v>
      </c>
      <c r="G223" s="14" t="str">
        <f aca="false">INDEX(Lists!$G$5:$G$12,MATCH(C223,Lists!$F$5:$F$12,0))</f>
        <v>South</v>
      </c>
      <c r="H223" s="14" t="str">
        <f aca="false">INDEX(Lists!$B$5:$B$12,MATCH(D223,Lists!$A$5:$A$12,0))</f>
        <v>Accessories</v>
      </c>
      <c r="I223" s="32" t="n">
        <f aca="false">INDEX(Lists!$C$5:$C$12,MATCH(D223,Lists!$A$5:$A$12,0))</f>
        <v>80</v>
      </c>
      <c r="J223" s="32" t="n">
        <f aca="false">INDEX(Lists!$D$5:$D$12,MATCH(D223,Lists!$A$5:$A$12,0))</f>
        <v>38</v>
      </c>
      <c r="K223" s="32" t="n">
        <f aca="false">E223*I223*(1-F223)</f>
        <v>800</v>
      </c>
      <c r="L223" s="32" t="n">
        <f aca="false">E223*J223</f>
        <v>380</v>
      </c>
      <c r="M223" s="32" t="n">
        <f aca="false">K223-L223</f>
        <v>420</v>
      </c>
      <c r="N223" s="33" t="n">
        <f aca="false">DATE(YEAR(B223),MONTH(B223),1)</f>
        <v>46143</v>
      </c>
    </row>
    <row r="224" customFormat="false" ht="15" hidden="false" customHeight="false" outlineLevel="0" collapsed="false">
      <c r="A224" s="29" t="s">
        <v>298</v>
      </c>
      <c r="B224" s="30" t="n">
        <v>46145</v>
      </c>
      <c r="C224" s="29" t="s">
        <v>83</v>
      </c>
      <c r="D224" s="29" t="s">
        <v>75</v>
      </c>
      <c r="E224" s="29" t="n">
        <v>5</v>
      </c>
      <c r="F224" s="31" t="n">
        <v>0.1</v>
      </c>
      <c r="G224" s="14" t="str">
        <f aca="false">INDEX(Lists!$G$5:$G$12,MATCH(C224,Lists!$F$5:$F$12,0))</f>
        <v>West</v>
      </c>
      <c r="H224" s="14" t="str">
        <f aca="false">INDEX(Lists!$B$5:$B$12,MATCH(D224,Lists!$A$5:$A$12,0))</f>
        <v>Audio</v>
      </c>
      <c r="I224" s="32" t="n">
        <f aca="false">INDEX(Lists!$C$5:$C$12,MATCH(D224,Lists!$A$5:$A$12,0))</f>
        <v>140</v>
      </c>
      <c r="J224" s="32" t="n">
        <f aca="false">INDEX(Lists!$D$5:$D$12,MATCH(D224,Lists!$A$5:$A$12,0))</f>
        <v>70</v>
      </c>
      <c r="K224" s="32" t="n">
        <f aca="false">E224*I224*(1-F224)</f>
        <v>630</v>
      </c>
      <c r="L224" s="32" t="n">
        <f aca="false">E224*J224</f>
        <v>350</v>
      </c>
      <c r="M224" s="32" t="n">
        <f aca="false">K224-L224</f>
        <v>280</v>
      </c>
      <c r="N224" s="33" t="n">
        <f aca="false">DATE(YEAR(B224),MONTH(B224),1)</f>
        <v>46143</v>
      </c>
    </row>
    <row r="225" customFormat="false" ht="15" hidden="false" customHeight="false" outlineLevel="0" collapsed="false">
      <c r="A225" s="29" t="s">
        <v>299</v>
      </c>
      <c r="B225" s="30" t="n">
        <v>46146</v>
      </c>
      <c r="C225" s="29" t="s">
        <v>83</v>
      </c>
      <c r="D225" s="29" t="s">
        <v>72</v>
      </c>
      <c r="E225" s="29" t="n">
        <v>20</v>
      </c>
      <c r="F225" s="31" t="n">
        <v>0.05</v>
      </c>
      <c r="G225" s="14" t="str">
        <f aca="false">INDEX(Lists!$G$5:$G$12,MATCH(C225,Lists!$F$5:$F$12,0))</f>
        <v>West</v>
      </c>
      <c r="H225" s="14" t="str">
        <f aca="false">INDEX(Lists!$B$5:$B$12,MATCH(D225,Lists!$A$5:$A$12,0))</f>
        <v>Accessories</v>
      </c>
      <c r="I225" s="32" t="n">
        <f aca="false">INDEX(Lists!$C$5:$C$12,MATCH(D225,Lists!$A$5:$A$12,0))</f>
        <v>80</v>
      </c>
      <c r="J225" s="32" t="n">
        <f aca="false">INDEX(Lists!$D$5:$D$12,MATCH(D225,Lists!$A$5:$A$12,0))</f>
        <v>38</v>
      </c>
      <c r="K225" s="32" t="n">
        <f aca="false">E225*I225*(1-F225)</f>
        <v>1520</v>
      </c>
      <c r="L225" s="32" t="n">
        <f aca="false">E225*J225</f>
        <v>760</v>
      </c>
      <c r="M225" s="32" t="n">
        <f aca="false">K225-L225</f>
        <v>760</v>
      </c>
      <c r="N225" s="33" t="n">
        <f aca="false">DATE(YEAR(B225),MONTH(B225),1)</f>
        <v>46143</v>
      </c>
    </row>
    <row r="226" customFormat="false" ht="15" hidden="false" customHeight="false" outlineLevel="0" collapsed="false">
      <c r="A226" s="29" t="s">
        <v>300</v>
      </c>
      <c r="B226" s="30" t="n">
        <v>46147</v>
      </c>
      <c r="C226" s="29" t="s">
        <v>88</v>
      </c>
      <c r="D226" s="29" t="s">
        <v>80</v>
      </c>
      <c r="E226" s="29" t="n">
        <v>3</v>
      </c>
      <c r="F226" s="31" t="n">
        <v>0</v>
      </c>
      <c r="G226" s="14" t="str">
        <f aca="false">INDEX(Lists!$G$5:$G$12,MATCH(C226,Lists!$F$5:$F$12,0))</f>
        <v>North</v>
      </c>
      <c r="H226" s="14" t="str">
        <f aca="false">INDEX(Lists!$B$5:$B$12,MATCH(D226,Lists!$A$5:$A$12,0))</f>
        <v>Computers</v>
      </c>
      <c r="I226" s="32" t="n">
        <f aca="false">INDEX(Lists!$C$5:$C$12,MATCH(D226,Lists!$A$5:$A$12,0))</f>
        <v>2400</v>
      </c>
      <c r="J226" s="32" t="n">
        <f aca="false">INDEX(Lists!$D$5:$D$12,MATCH(D226,Lists!$A$5:$A$12,0))</f>
        <v>1650</v>
      </c>
      <c r="K226" s="32" t="n">
        <f aca="false">E226*I226*(1-F226)</f>
        <v>7200</v>
      </c>
      <c r="L226" s="32" t="n">
        <f aca="false">E226*J226</f>
        <v>4950</v>
      </c>
      <c r="M226" s="32" t="n">
        <f aca="false">K226-L226</f>
        <v>2250</v>
      </c>
      <c r="N226" s="33" t="n">
        <f aca="false">DATE(YEAR(B226),MONTH(B226),1)</f>
        <v>46143</v>
      </c>
    </row>
    <row r="227" customFormat="false" ht="15" hidden="false" customHeight="false" outlineLevel="0" collapsed="false">
      <c r="A227" s="29" t="s">
        <v>301</v>
      </c>
      <c r="B227" s="30" t="n">
        <v>46149</v>
      </c>
      <c r="C227" s="29" t="s">
        <v>74</v>
      </c>
      <c r="D227" s="29" t="s">
        <v>70</v>
      </c>
      <c r="E227" s="29" t="n">
        <v>7</v>
      </c>
      <c r="F227" s="31" t="n">
        <v>0.05</v>
      </c>
      <c r="G227" s="14" t="str">
        <f aca="false">INDEX(Lists!$G$5:$G$12,MATCH(C227,Lists!$F$5:$F$12,0))</f>
        <v>South</v>
      </c>
      <c r="H227" s="14" t="str">
        <f aca="false">INDEX(Lists!$B$5:$B$12,MATCH(D227,Lists!$A$5:$A$12,0))</f>
        <v>Displays</v>
      </c>
      <c r="I227" s="32" t="n">
        <f aca="false">INDEX(Lists!$C$5:$C$12,MATCH(D227,Lists!$A$5:$A$12,0))</f>
        <v>520</v>
      </c>
      <c r="J227" s="32" t="n">
        <f aca="false">INDEX(Lists!$D$5:$D$12,MATCH(D227,Lists!$A$5:$A$12,0))</f>
        <v>340</v>
      </c>
      <c r="K227" s="32" t="n">
        <f aca="false">E227*I227*(1-F227)</f>
        <v>3458</v>
      </c>
      <c r="L227" s="32" t="n">
        <f aca="false">E227*J227</f>
        <v>2380</v>
      </c>
      <c r="M227" s="32" t="n">
        <f aca="false">K227-L227</f>
        <v>1078</v>
      </c>
      <c r="N227" s="33" t="n">
        <f aca="false">DATE(YEAR(B227),MONTH(B227),1)</f>
        <v>46143</v>
      </c>
    </row>
    <row r="228" customFormat="false" ht="15" hidden="false" customHeight="false" outlineLevel="0" collapsed="false">
      <c r="A228" s="29" t="s">
        <v>302</v>
      </c>
      <c r="B228" s="30" t="n">
        <v>46149</v>
      </c>
      <c r="C228" s="29" t="s">
        <v>69</v>
      </c>
      <c r="D228" s="29" t="s">
        <v>62</v>
      </c>
      <c r="E228" s="29" t="n">
        <v>3</v>
      </c>
      <c r="F228" s="31" t="n">
        <v>0</v>
      </c>
      <c r="G228" s="14" t="str">
        <f aca="false">INDEX(Lists!$G$5:$G$12,MATCH(C228,Lists!$F$5:$F$12,0))</f>
        <v>East</v>
      </c>
      <c r="H228" s="14" t="str">
        <f aca="false">INDEX(Lists!$B$5:$B$12,MATCH(D228,Lists!$A$5:$A$12,0))</f>
        <v>Computers</v>
      </c>
      <c r="I228" s="32" t="n">
        <f aca="false">INDEX(Lists!$C$5:$C$12,MATCH(D228,Lists!$A$5:$A$12,0))</f>
        <v>1600</v>
      </c>
      <c r="J228" s="32" t="n">
        <f aca="false">INDEX(Lists!$D$5:$D$12,MATCH(D228,Lists!$A$5:$A$12,0))</f>
        <v>1100</v>
      </c>
      <c r="K228" s="32" t="n">
        <f aca="false">E228*I228*(1-F228)</f>
        <v>4800</v>
      </c>
      <c r="L228" s="32" t="n">
        <f aca="false">E228*J228</f>
        <v>3300</v>
      </c>
      <c r="M228" s="32" t="n">
        <f aca="false">K228-L228</f>
        <v>1500</v>
      </c>
      <c r="N228" s="33" t="n">
        <f aca="false">DATE(YEAR(B228),MONTH(B228),1)</f>
        <v>46143</v>
      </c>
    </row>
    <row r="229" customFormat="false" ht="15" hidden="false" customHeight="false" outlineLevel="0" collapsed="false">
      <c r="A229" s="29" t="s">
        <v>303</v>
      </c>
      <c r="B229" s="30" t="n">
        <v>46150</v>
      </c>
      <c r="C229" s="29" t="s">
        <v>61</v>
      </c>
      <c r="D229" s="29" t="s">
        <v>62</v>
      </c>
      <c r="E229" s="29" t="n">
        <v>4</v>
      </c>
      <c r="F229" s="31" t="n">
        <v>0.05</v>
      </c>
      <c r="G229" s="14" t="str">
        <f aca="false">INDEX(Lists!$G$5:$G$12,MATCH(C229,Lists!$F$5:$F$12,0))</f>
        <v>South</v>
      </c>
      <c r="H229" s="14" t="str">
        <f aca="false">INDEX(Lists!$B$5:$B$12,MATCH(D229,Lists!$A$5:$A$12,0))</f>
        <v>Computers</v>
      </c>
      <c r="I229" s="32" t="n">
        <f aca="false">INDEX(Lists!$C$5:$C$12,MATCH(D229,Lists!$A$5:$A$12,0))</f>
        <v>1600</v>
      </c>
      <c r="J229" s="32" t="n">
        <f aca="false">INDEX(Lists!$D$5:$D$12,MATCH(D229,Lists!$A$5:$A$12,0))</f>
        <v>1100</v>
      </c>
      <c r="K229" s="32" t="n">
        <f aca="false">E229*I229*(1-F229)</f>
        <v>6080</v>
      </c>
      <c r="L229" s="32" t="n">
        <f aca="false">E229*J229</f>
        <v>4400</v>
      </c>
      <c r="M229" s="32" t="n">
        <f aca="false">K229-L229</f>
        <v>1680</v>
      </c>
      <c r="N229" s="33" t="n">
        <f aca="false">DATE(YEAR(B229),MONTH(B229),1)</f>
        <v>46143</v>
      </c>
    </row>
    <row r="230" customFormat="false" ht="15" hidden="false" customHeight="false" outlineLevel="0" collapsed="false">
      <c r="A230" s="29" t="s">
        <v>304</v>
      </c>
      <c r="B230" s="30" t="n">
        <v>46151</v>
      </c>
      <c r="C230" s="29" t="s">
        <v>83</v>
      </c>
      <c r="D230" s="29" t="s">
        <v>80</v>
      </c>
      <c r="E230" s="29" t="n">
        <v>1</v>
      </c>
      <c r="F230" s="31" t="n">
        <v>0.05</v>
      </c>
      <c r="G230" s="14" t="str">
        <f aca="false">INDEX(Lists!$G$5:$G$12,MATCH(C230,Lists!$F$5:$F$12,0))</f>
        <v>West</v>
      </c>
      <c r="H230" s="14" t="str">
        <f aca="false">INDEX(Lists!$B$5:$B$12,MATCH(D230,Lists!$A$5:$A$12,0))</f>
        <v>Computers</v>
      </c>
      <c r="I230" s="32" t="n">
        <f aca="false">INDEX(Lists!$C$5:$C$12,MATCH(D230,Lists!$A$5:$A$12,0))</f>
        <v>2400</v>
      </c>
      <c r="J230" s="32" t="n">
        <f aca="false">INDEX(Lists!$D$5:$D$12,MATCH(D230,Lists!$A$5:$A$12,0))</f>
        <v>1650</v>
      </c>
      <c r="K230" s="32" t="n">
        <f aca="false">E230*I230*(1-F230)</f>
        <v>2280</v>
      </c>
      <c r="L230" s="32" t="n">
        <f aca="false">E230*J230</f>
        <v>1650</v>
      </c>
      <c r="M230" s="32" t="n">
        <f aca="false">K230-L230</f>
        <v>630</v>
      </c>
      <c r="N230" s="33" t="n">
        <f aca="false">DATE(YEAR(B230),MONTH(B230),1)</f>
        <v>46143</v>
      </c>
    </row>
    <row r="231" customFormat="false" ht="15" hidden="false" customHeight="false" outlineLevel="0" collapsed="false">
      <c r="A231" s="29" t="s">
        <v>305</v>
      </c>
      <c r="B231" s="30" t="n">
        <v>46152</v>
      </c>
      <c r="C231" s="29" t="s">
        <v>61</v>
      </c>
      <c r="D231" s="29" t="s">
        <v>72</v>
      </c>
      <c r="E231" s="29" t="n">
        <v>5</v>
      </c>
      <c r="F231" s="31" t="n">
        <v>0.1</v>
      </c>
      <c r="G231" s="14" t="str">
        <f aca="false">INDEX(Lists!$G$5:$G$12,MATCH(C231,Lists!$F$5:$F$12,0))</f>
        <v>South</v>
      </c>
      <c r="H231" s="14" t="str">
        <f aca="false">INDEX(Lists!$B$5:$B$12,MATCH(D231,Lists!$A$5:$A$12,0))</f>
        <v>Accessories</v>
      </c>
      <c r="I231" s="32" t="n">
        <f aca="false">INDEX(Lists!$C$5:$C$12,MATCH(D231,Lists!$A$5:$A$12,0))</f>
        <v>80</v>
      </c>
      <c r="J231" s="32" t="n">
        <f aca="false">INDEX(Lists!$D$5:$D$12,MATCH(D231,Lists!$A$5:$A$12,0))</f>
        <v>38</v>
      </c>
      <c r="K231" s="32" t="n">
        <f aca="false">E231*I231*(1-F231)</f>
        <v>360</v>
      </c>
      <c r="L231" s="32" t="n">
        <f aca="false">E231*J231</f>
        <v>190</v>
      </c>
      <c r="M231" s="32" t="n">
        <f aca="false">K231-L231</f>
        <v>170</v>
      </c>
      <c r="N231" s="33" t="n">
        <f aca="false">DATE(YEAR(B231),MONTH(B231),1)</f>
        <v>46143</v>
      </c>
    </row>
    <row r="232" customFormat="false" ht="15" hidden="false" customHeight="false" outlineLevel="0" collapsed="false">
      <c r="A232" s="29" t="s">
        <v>306</v>
      </c>
      <c r="B232" s="30" t="n">
        <v>46153</v>
      </c>
      <c r="C232" s="29" t="s">
        <v>86</v>
      </c>
      <c r="D232" s="29" t="s">
        <v>70</v>
      </c>
      <c r="E232" s="29" t="n">
        <v>6</v>
      </c>
      <c r="F232" s="31" t="n">
        <v>0.05</v>
      </c>
      <c r="G232" s="14" t="str">
        <f aca="false">INDEX(Lists!$G$5:$G$12,MATCH(C232,Lists!$F$5:$F$12,0))</f>
        <v>North</v>
      </c>
      <c r="H232" s="14" t="str">
        <f aca="false">INDEX(Lists!$B$5:$B$12,MATCH(D232,Lists!$A$5:$A$12,0))</f>
        <v>Displays</v>
      </c>
      <c r="I232" s="32" t="n">
        <f aca="false">INDEX(Lists!$C$5:$C$12,MATCH(D232,Lists!$A$5:$A$12,0))</f>
        <v>520</v>
      </c>
      <c r="J232" s="32" t="n">
        <f aca="false">INDEX(Lists!$D$5:$D$12,MATCH(D232,Lists!$A$5:$A$12,0))</f>
        <v>340</v>
      </c>
      <c r="K232" s="32" t="n">
        <f aca="false">E232*I232*(1-F232)</f>
        <v>2964</v>
      </c>
      <c r="L232" s="32" t="n">
        <f aca="false">E232*J232</f>
        <v>2040</v>
      </c>
      <c r="M232" s="32" t="n">
        <f aca="false">K232-L232</f>
        <v>924</v>
      </c>
      <c r="N232" s="33" t="n">
        <f aca="false">DATE(YEAR(B232),MONTH(B232),1)</f>
        <v>46143</v>
      </c>
    </row>
    <row r="233" customFormat="false" ht="15" hidden="false" customHeight="false" outlineLevel="0" collapsed="false">
      <c r="A233" s="29" t="s">
        <v>307</v>
      </c>
      <c r="B233" s="30" t="n">
        <v>46154</v>
      </c>
      <c r="C233" s="29" t="s">
        <v>93</v>
      </c>
      <c r="D233" s="29" t="s">
        <v>70</v>
      </c>
      <c r="E233" s="29" t="n">
        <v>2</v>
      </c>
      <c r="F233" s="31" t="n">
        <v>0</v>
      </c>
      <c r="G233" s="14" t="str">
        <f aca="false">INDEX(Lists!$G$5:$G$12,MATCH(C233,Lists!$F$5:$F$12,0))</f>
        <v>West</v>
      </c>
      <c r="H233" s="14" t="str">
        <f aca="false">INDEX(Lists!$B$5:$B$12,MATCH(D233,Lists!$A$5:$A$12,0))</f>
        <v>Displays</v>
      </c>
      <c r="I233" s="32" t="n">
        <f aca="false">INDEX(Lists!$C$5:$C$12,MATCH(D233,Lists!$A$5:$A$12,0))</f>
        <v>520</v>
      </c>
      <c r="J233" s="32" t="n">
        <f aca="false">INDEX(Lists!$D$5:$D$12,MATCH(D233,Lists!$A$5:$A$12,0))</f>
        <v>340</v>
      </c>
      <c r="K233" s="32" t="n">
        <f aca="false">E233*I233*(1-F233)</f>
        <v>1040</v>
      </c>
      <c r="L233" s="32" t="n">
        <f aca="false">E233*J233</f>
        <v>680</v>
      </c>
      <c r="M233" s="32" t="n">
        <f aca="false">K233-L233</f>
        <v>360</v>
      </c>
      <c r="N233" s="33" t="n">
        <f aca="false">DATE(YEAR(B233),MONTH(B233),1)</f>
        <v>46143</v>
      </c>
    </row>
    <row r="234" customFormat="false" ht="15" hidden="false" customHeight="false" outlineLevel="0" collapsed="false">
      <c r="A234" s="29" t="s">
        <v>308</v>
      </c>
      <c r="B234" s="30" t="n">
        <v>46158</v>
      </c>
      <c r="C234" s="29" t="s">
        <v>64</v>
      </c>
      <c r="D234" s="29" t="s">
        <v>67</v>
      </c>
      <c r="E234" s="29" t="n">
        <v>17</v>
      </c>
      <c r="F234" s="31" t="n">
        <v>0</v>
      </c>
      <c r="G234" s="14" t="str">
        <f aca="false">INDEX(Lists!$G$5:$G$12,MATCH(C234,Lists!$F$5:$F$12,0))</f>
        <v>East</v>
      </c>
      <c r="H234" s="14" t="str">
        <f aca="false">INDEX(Lists!$B$5:$B$12,MATCH(D234,Lists!$A$5:$A$12,0))</f>
        <v>Accessories</v>
      </c>
      <c r="I234" s="32" t="n">
        <f aca="false">INDEX(Lists!$C$5:$C$12,MATCH(D234,Lists!$A$5:$A$12,0))</f>
        <v>120</v>
      </c>
      <c r="J234" s="32" t="n">
        <f aca="false">INDEX(Lists!$D$5:$D$12,MATCH(D234,Lists!$A$5:$A$12,0))</f>
        <v>62</v>
      </c>
      <c r="K234" s="32" t="n">
        <f aca="false">E234*I234*(1-F234)</f>
        <v>2040</v>
      </c>
      <c r="L234" s="32" t="n">
        <f aca="false">E234*J234</f>
        <v>1054</v>
      </c>
      <c r="M234" s="32" t="n">
        <f aca="false">K234-L234</f>
        <v>986</v>
      </c>
      <c r="N234" s="33" t="n">
        <f aca="false">DATE(YEAR(B234),MONTH(B234),1)</f>
        <v>46143</v>
      </c>
    </row>
    <row r="235" customFormat="false" ht="15" hidden="false" customHeight="false" outlineLevel="0" collapsed="false">
      <c r="A235" s="29" t="s">
        <v>309</v>
      </c>
      <c r="B235" s="30" t="n">
        <v>46158</v>
      </c>
      <c r="C235" s="29" t="s">
        <v>86</v>
      </c>
      <c r="D235" s="29" t="s">
        <v>67</v>
      </c>
      <c r="E235" s="29" t="n">
        <v>16</v>
      </c>
      <c r="F235" s="31" t="n">
        <v>0.05</v>
      </c>
      <c r="G235" s="14" t="str">
        <f aca="false">INDEX(Lists!$G$5:$G$12,MATCH(C235,Lists!$F$5:$F$12,0))</f>
        <v>North</v>
      </c>
      <c r="H235" s="14" t="str">
        <f aca="false">INDEX(Lists!$B$5:$B$12,MATCH(D235,Lists!$A$5:$A$12,0))</f>
        <v>Accessories</v>
      </c>
      <c r="I235" s="32" t="n">
        <f aca="false">INDEX(Lists!$C$5:$C$12,MATCH(D235,Lists!$A$5:$A$12,0))</f>
        <v>120</v>
      </c>
      <c r="J235" s="32" t="n">
        <f aca="false">INDEX(Lists!$D$5:$D$12,MATCH(D235,Lists!$A$5:$A$12,0))</f>
        <v>62</v>
      </c>
      <c r="K235" s="32" t="n">
        <f aca="false">E235*I235*(1-F235)</f>
        <v>1824</v>
      </c>
      <c r="L235" s="32" t="n">
        <f aca="false">E235*J235</f>
        <v>992</v>
      </c>
      <c r="M235" s="32" t="n">
        <f aca="false">K235-L235</f>
        <v>832</v>
      </c>
      <c r="N235" s="33" t="n">
        <f aca="false">DATE(YEAR(B235),MONTH(B235),1)</f>
        <v>46143</v>
      </c>
    </row>
    <row r="236" customFormat="false" ht="15" hidden="false" customHeight="false" outlineLevel="0" collapsed="false">
      <c r="A236" s="29" t="s">
        <v>310</v>
      </c>
      <c r="B236" s="30" t="n">
        <v>46159</v>
      </c>
      <c r="C236" s="29" t="s">
        <v>93</v>
      </c>
      <c r="D236" s="29" t="s">
        <v>80</v>
      </c>
      <c r="E236" s="29" t="n">
        <v>3</v>
      </c>
      <c r="F236" s="31" t="n">
        <v>0</v>
      </c>
      <c r="G236" s="14" t="str">
        <f aca="false">INDEX(Lists!$G$5:$G$12,MATCH(C236,Lists!$F$5:$F$12,0))</f>
        <v>West</v>
      </c>
      <c r="H236" s="14" t="str">
        <f aca="false">INDEX(Lists!$B$5:$B$12,MATCH(D236,Lists!$A$5:$A$12,0))</f>
        <v>Computers</v>
      </c>
      <c r="I236" s="32" t="n">
        <f aca="false">INDEX(Lists!$C$5:$C$12,MATCH(D236,Lists!$A$5:$A$12,0))</f>
        <v>2400</v>
      </c>
      <c r="J236" s="32" t="n">
        <f aca="false">INDEX(Lists!$D$5:$D$12,MATCH(D236,Lists!$A$5:$A$12,0))</f>
        <v>1650</v>
      </c>
      <c r="K236" s="32" t="n">
        <f aca="false">E236*I236*(1-F236)</f>
        <v>7200</v>
      </c>
      <c r="L236" s="32" t="n">
        <f aca="false">E236*J236</f>
        <v>4950</v>
      </c>
      <c r="M236" s="32" t="n">
        <f aca="false">K236-L236</f>
        <v>2250</v>
      </c>
      <c r="N236" s="33" t="n">
        <f aca="false">DATE(YEAR(B236),MONTH(B236),1)</f>
        <v>46143</v>
      </c>
    </row>
    <row r="237" customFormat="false" ht="15" hidden="false" customHeight="false" outlineLevel="0" collapsed="false">
      <c r="A237" s="29" t="s">
        <v>311</v>
      </c>
      <c r="B237" s="30" t="n">
        <v>46160</v>
      </c>
      <c r="C237" s="29" t="s">
        <v>64</v>
      </c>
      <c r="D237" s="29" t="s">
        <v>72</v>
      </c>
      <c r="E237" s="29" t="n">
        <v>3</v>
      </c>
      <c r="F237" s="31" t="n">
        <v>0.15</v>
      </c>
      <c r="G237" s="14" t="str">
        <f aca="false">INDEX(Lists!$G$5:$G$12,MATCH(C237,Lists!$F$5:$F$12,0))</f>
        <v>East</v>
      </c>
      <c r="H237" s="14" t="str">
        <f aca="false">INDEX(Lists!$B$5:$B$12,MATCH(D237,Lists!$A$5:$A$12,0))</f>
        <v>Accessories</v>
      </c>
      <c r="I237" s="32" t="n">
        <f aca="false">INDEX(Lists!$C$5:$C$12,MATCH(D237,Lists!$A$5:$A$12,0))</f>
        <v>80</v>
      </c>
      <c r="J237" s="32" t="n">
        <f aca="false">INDEX(Lists!$D$5:$D$12,MATCH(D237,Lists!$A$5:$A$12,0))</f>
        <v>38</v>
      </c>
      <c r="K237" s="32" t="n">
        <f aca="false">E237*I237*(1-F237)</f>
        <v>204</v>
      </c>
      <c r="L237" s="32" t="n">
        <f aca="false">E237*J237</f>
        <v>114</v>
      </c>
      <c r="M237" s="32" t="n">
        <f aca="false">K237-L237</f>
        <v>90</v>
      </c>
      <c r="N237" s="33" t="n">
        <f aca="false">DATE(YEAR(B237),MONTH(B237),1)</f>
        <v>46143</v>
      </c>
    </row>
    <row r="238" customFormat="false" ht="15" hidden="false" customHeight="false" outlineLevel="0" collapsed="false">
      <c r="A238" s="29" t="s">
        <v>312</v>
      </c>
      <c r="B238" s="30" t="n">
        <v>46161</v>
      </c>
      <c r="C238" s="29" t="s">
        <v>88</v>
      </c>
      <c r="D238" s="29" t="s">
        <v>65</v>
      </c>
      <c r="E238" s="29" t="n">
        <v>6</v>
      </c>
      <c r="F238" s="31" t="n">
        <v>0.15</v>
      </c>
      <c r="G238" s="14" t="str">
        <f aca="false">INDEX(Lists!$G$5:$G$12,MATCH(C238,Lists!$F$5:$F$12,0))</f>
        <v>North</v>
      </c>
      <c r="H238" s="14" t="str">
        <f aca="false">INDEX(Lists!$B$5:$B$12,MATCH(D238,Lists!$A$5:$A$12,0))</f>
        <v>Accessories</v>
      </c>
      <c r="I238" s="32" t="n">
        <f aca="false">INDEX(Lists!$C$5:$C$12,MATCH(D238,Lists!$A$5:$A$12,0))</f>
        <v>260</v>
      </c>
      <c r="J238" s="32" t="n">
        <f aca="false">INDEX(Lists!$D$5:$D$12,MATCH(D238,Lists!$A$5:$A$12,0))</f>
        <v>150</v>
      </c>
      <c r="K238" s="32" t="n">
        <f aca="false">E238*I238*(1-F238)</f>
        <v>1326</v>
      </c>
      <c r="L238" s="32" t="n">
        <f aca="false">E238*J238</f>
        <v>900</v>
      </c>
      <c r="M238" s="32" t="n">
        <f aca="false">K238-L238</f>
        <v>426</v>
      </c>
      <c r="N238" s="33" t="n">
        <f aca="false">DATE(YEAR(B238),MONTH(B238),1)</f>
        <v>46143</v>
      </c>
    </row>
    <row r="239" customFormat="false" ht="15" hidden="false" customHeight="false" outlineLevel="0" collapsed="false">
      <c r="A239" s="29" t="s">
        <v>313</v>
      </c>
      <c r="B239" s="30" t="n">
        <v>46162</v>
      </c>
      <c r="C239" s="29" t="s">
        <v>64</v>
      </c>
      <c r="D239" s="29" t="s">
        <v>62</v>
      </c>
      <c r="E239" s="29" t="n">
        <v>3</v>
      </c>
      <c r="F239" s="31" t="n">
        <v>0.05</v>
      </c>
      <c r="G239" s="14" t="str">
        <f aca="false">INDEX(Lists!$G$5:$G$12,MATCH(C239,Lists!$F$5:$F$12,0))</f>
        <v>East</v>
      </c>
      <c r="H239" s="14" t="str">
        <f aca="false">INDEX(Lists!$B$5:$B$12,MATCH(D239,Lists!$A$5:$A$12,0))</f>
        <v>Computers</v>
      </c>
      <c r="I239" s="32" t="n">
        <f aca="false">INDEX(Lists!$C$5:$C$12,MATCH(D239,Lists!$A$5:$A$12,0))</f>
        <v>1600</v>
      </c>
      <c r="J239" s="32" t="n">
        <f aca="false">INDEX(Lists!$D$5:$D$12,MATCH(D239,Lists!$A$5:$A$12,0))</f>
        <v>1100</v>
      </c>
      <c r="K239" s="32" t="n">
        <f aca="false">E239*I239*(1-F239)</f>
        <v>4560</v>
      </c>
      <c r="L239" s="32" t="n">
        <f aca="false">E239*J239</f>
        <v>3300</v>
      </c>
      <c r="M239" s="32" t="n">
        <f aca="false">K239-L239</f>
        <v>1260</v>
      </c>
      <c r="N239" s="33" t="n">
        <f aca="false">DATE(YEAR(B239),MONTH(B239),1)</f>
        <v>46143</v>
      </c>
    </row>
    <row r="240" customFormat="false" ht="15" hidden="false" customHeight="false" outlineLevel="0" collapsed="false">
      <c r="A240" s="29" t="s">
        <v>314</v>
      </c>
      <c r="B240" s="30" t="n">
        <v>46163</v>
      </c>
      <c r="C240" s="29" t="s">
        <v>74</v>
      </c>
      <c r="D240" s="29" t="s">
        <v>91</v>
      </c>
      <c r="E240" s="29" t="n">
        <v>15</v>
      </c>
      <c r="F240" s="31" t="n">
        <v>0.15</v>
      </c>
      <c r="G240" s="14" t="str">
        <f aca="false">INDEX(Lists!$G$5:$G$12,MATCH(C240,Lists!$F$5:$F$12,0))</f>
        <v>South</v>
      </c>
      <c r="H240" s="14" t="str">
        <f aca="false">INDEX(Lists!$B$5:$B$12,MATCH(D240,Lists!$A$5:$A$12,0))</f>
        <v>Audio</v>
      </c>
      <c r="I240" s="32" t="n">
        <f aca="false">INDEX(Lists!$C$5:$C$12,MATCH(D240,Lists!$A$5:$A$12,0))</f>
        <v>190</v>
      </c>
      <c r="J240" s="32" t="n">
        <f aca="false">INDEX(Lists!$D$5:$D$12,MATCH(D240,Lists!$A$5:$A$12,0))</f>
        <v>105</v>
      </c>
      <c r="K240" s="32" t="n">
        <f aca="false">E240*I240*(1-F240)</f>
        <v>2422.5</v>
      </c>
      <c r="L240" s="32" t="n">
        <f aca="false">E240*J240</f>
        <v>1575</v>
      </c>
      <c r="M240" s="32" t="n">
        <f aca="false">K240-L240</f>
        <v>847.5</v>
      </c>
      <c r="N240" s="33" t="n">
        <f aca="false">DATE(YEAR(B240),MONTH(B240),1)</f>
        <v>46143</v>
      </c>
    </row>
    <row r="241" customFormat="false" ht="15" hidden="false" customHeight="false" outlineLevel="0" collapsed="false">
      <c r="A241" s="29" t="s">
        <v>315</v>
      </c>
      <c r="B241" s="30" t="n">
        <v>46164</v>
      </c>
      <c r="C241" s="29" t="s">
        <v>83</v>
      </c>
      <c r="D241" s="29" t="s">
        <v>75</v>
      </c>
      <c r="E241" s="29" t="n">
        <v>6</v>
      </c>
      <c r="F241" s="31" t="n">
        <v>0.1</v>
      </c>
      <c r="G241" s="14" t="str">
        <f aca="false">INDEX(Lists!$G$5:$G$12,MATCH(C241,Lists!$F$5:$F$12,0))</f>
        <v>West</v>
      </c>
      <c r="H241" s="14" t="str">
        <f aca="false">INDEX(Lists!$B$5:$B$12,MATCH(D241,Lists!$A$5:$A$12,0))</f>
        <v>Audio</v>
      </c>
      <c r="I241" s="32" t="n">
        <f aca="false">INDEX(Lists!$C$5:$C$12,MATCH(D241,Lists!$A$5:$A$12,0))</f>
        <v>140</v>
      </c>
      <c r="J241" s="32" t="n">
        <f aca="false">INDEX(Lists!$D$5:$D$12,MATCH(D241,Lists!$A$5:$A$12,0))</f>
        <v>70</v>
      </c>
      <c r="K241" s="32" t="n">
        <f aca="false">E241*I241*(1-F241)</f>
        <v>756</v>
      </c>
      <c r="L241" s="32" t="n">
        <f aca="false">E241*J241</f>
        <v>420</v>
      </c>
      <c r="M241" s="32" t="n">
        <f aca="false">K241-L241</f>
        <v>336</v>
      </c>
      <c r="N241" s="33" t="n">
        <f aca="false">DATE(YEAR(B241),MONTH(B241),1)</f>
        <v>46143</v>
      </c>
    </row>
    <row r="242" customFormat="false" ht="15" hidden="false" customHeight="false" outlineLevel="0" collapsed="false">
      <c r="A242" s="29" t="s">
        <v>316</v>
      </c>
      <c r="B242" s="30" t="n">
        <v>46164</v>
      </c>
      <c r="C242" s="29" t="s">
        <v>88</v>
      </c>
      <c r="D242" s="29" t="s">
        <v>91</v>
      </c>
      <c r="E242" s="29" t="n">
        <v>15</v>
      </c>
      <c r="F242" s="31" t="n">
        <v>0.1</v>
      </c>
      <c r="G242" s="14" t="str">
        <f aca="false">INDEX(Lists!$G$5:$G$12,MATCH(C242,Lists!$F$5:$F$12,0))</f>
        <v>North</v>
      </c>
      <c r="H242" s="14" t="str">
        <f aca="false">INDEX(Lists!$B$5:$B$12,MATCH(D242,Lists!$A$5:$A$12,0))</f>
        <v>Audio</v>
      </c>
      <c r="I242" s="32" t="n">
        <f aca="false">INDEX(Lists!$C$5:$C$12,MATCH(D242,Lists!$A$5:$A$12,0))</f>
        <v>190</v>
      </c>
      <c r="J242" s="32" t="n">
        <f aca="false">INDEX(Lists!$D$5:$D$12,MATCH(D242,Lists!$A$5:$A$12,0))</f>
        <v>105</v>
      </c>
      <c r="K242" s="32" t="n">
        <f aca="false">E242*I242*(1-F242)</f>
        <v>2565</v>
      </c>
      <c r="L242" s="32" t="n">
        <f aca="false">E242*J242</f>
        <v>1575</v>
      </c>
      <c r="M242" s="32" t="n">
        <f aca="false">K242-L242</f>
        <v>990</v>
      </c>
      <c r="N242" s="33" t="n">
        <f aca="false">DATE(YEAR(B242),MONTH(B242),1)</f>
        <v>46143</v>
      </c>
    </row>
    <row r="243" customFormat="false" ht="15" hidden="false" customHeight="false" outlineLevel="0" collapsed="false">
      <c r="A243" s="29" t="s">
        <v>317</v>
      </c>
      <c r="B243" s="30" t="n">
        <v>46165</v>
      </c>
      <c r="C243" s="29" t="s">
        <v>61</v>
      </c>
      <c r="D243" s="29" t="s">
        <v>80</v>
      </c>
      <c r="E243" s="29" t="n">
        <v>2</v>
      </c>
      <c r="F243" s="31" t="n">
        <v>0</v>
      </c>
      <c r="G243" s="14" t="str">
        <f aca="false">INDEX(Lists!$G$5:$G$12,MATCH(C243,Lists!$F$5:$F$12,0))</f>
        <v>South</v>
      </c>
      <c r="H243" s="14" t="str">
        <f aca="false">INDEX(Lists!$B$5:$B$12,MATCH(D243,Lists!$A$5:$A$12,0))</f>
        <v>Computers</v>
      </c>
      <c r="I243" s="32" t="n">
        <f aca="false">INDEX(Lists!$C$5:$C$12,MATCH(D243,Lists!$A$5:$A$12,0))</f>
        <v>2400</v>
      </c>
      <c r="J243" s="32" t="n">
        <f aca="false">INDEX(Lists!$D$5:$D$12,MATCH(D243,Lists!$A$5:$A$12,0))</f>
        <v>1650</v>
      </c>
      <c r="K243" s="32" t="n">
        <f aca="false">E243*I243*(1-F243)</f>
        <v>4800</v>
      </c>
      <c r="L243" s="32" t="n">
        <f aca="false">E243*J243</f>
        <v>3300</v>
      </c>
      <c r="M243" s="32" t="n">
        <f aca="false">K243-L243</f>
        <v>1500</v>
      </c>
      <c r="N243" s="33" t="n">
        <f aca="false">DATE(YEAR(B243),MONTH(B243),1)</f>
        <v>46143</v>
      </c>
    </row>
    <row r="244" customFormat="false" ht="15" hidden="false" customHeight="false" outlineLevel="0" collapsed="false">
      <c r="A244" s="29" t="s">
        <v>318</v>
      </c>
      <c r="B244" s="30" t="n">
        <v>46166</v>
      </c>
      <c r="C244" s="29" t="s">
        <v>64</v>
      </c>
      <c r="D244" s="29" t="s">
        <v>91</v>
      </c>
      <c r="E244" s="29" t="n">
        <v>17</v>
      </c>
      <c r="F244" s="31" t="n">
        <v>0</v>
      </c>
      <c r="G244" s="14" t="str">
        <f aca="false">INDEX(Lists!$G$5:$G$12,MATCH(C244,Lists!$F$5:$F$12,0))</f>
        <v>East</v>
      </c>
      <c r="H244" s="14" t="str">
        <f aca="false">INDEX(Lists!$B$5:$B$12,MATCH(D244,Lists!$A$5:$A$12,0))</f>
        <v>Audio</v>
      </c>
      <c r="I244" s="32" t="n">
        <f aca="false">INDEX(Lists!$C$5:$C$12,MATCH(D244,Lists!$A$5:$A$12,0))</f>
        <v>190</v>
      </c>
      <c r="J244" s="32" t="n">
        <f aca="false">INDEX(Lists!$D$5:$D$12,MATCH(D244,Lists!$A$5:$A$12,0))</f>
        <v>105</v>
      </c>
      <c r="K244" s="32" t="n">
        <f aca="false">E244*I244*(1-F244)</f>
        <v>3230</v>
      </c>
      <c r="L244" s="32" t="n">
        <f aca="false">E244*J244</f>
        <v>1785</v>
      </c>
      <c r="M244" s="32" t="n">
        <f aca="false">K244-L244</f>
        <v>1445</v>
      </c>
      <c r="N244" s="33" t="n">
        <f aca="false">DATE(YEAR(B244),MONTH(B244),1)</f>
        <v>46143</v>
      </c>
    </row>
    <row r="245" customFormat="false" ht="15" hidden="false" customHeight="false" outlineLevel="0" collapsed="false">
      <c r="A245" s="29" t="s">
        <v>319</v>
      </c>
      <c r="B245" s="30" t="n">
        <v>46169</v>
      </c>
      <c r="C245" s="29" t="s">
        <v>83</v>
      </c>
      <c r="D245" s="29" t="s">
        <v>67</v>
      </c>
      <c r="E245" s="29" t="n">
        <v>2</v>
      </c>
      <c r="F245" s="31" t="n">
        <v>0</v>
      </c>
      <c r="G245" s="14" t="str">
        <f aca="false">INDEX(Lists!$G$5:$G$12,MATCH(C245,Lists!$F$5:$F$12,0))</f>
        <v>West</v>
      </c>
      <c r="H245" s="14" t="str">
        <f aca="false">INDEX(Lists!$B$5:$B$12,MATCH(D245,Lists!$A$5:$A$12,0))</f>
        <v>Accessories</v>
      </c>
      <c r="I245" s="32" t="n">
        <f aca="false">INDEX(Lists!$C$5:$C$12,MATCH(D245,Lists!$A$5:$A$12,0))</f>
        <v>120</v>
      </c>
      <c r="J245" s="32" t="n">
        <f aca="false">INDEX(Lists!$D$5:$D$12,MATCH(D245,Lists!$A$5:$A$12,0))</f>
        <v>62</v>
      </c>
      <c r="K245" s="32" t="n">
        <f aca="false">E245*I245*(1-F245)</f>
        <v>240</v>
      </c>
      <c r="L245" s="32" t="n">
        <f aca="false">E245*J245</f>
        <v>124</v>
      </c>
      <c r="M245" s="32" t="n">
        <f aca="false">K245-L245</f>
        <v>116</v>
      </c>
      <c r="N245" s="33" t="n">
        <f aca="false">DATE(YEAR(B245),MONTH(B245),1)</f>
        <v>46143</v>
      </c>
    </row>
    <row r="246" customFormat="false" ht="15" hidden="false" customHeight="false" outlineLevel="0" collapsed="false">
      <c r="A246" s="29" t="s">
        <v>320</v>
      </c>
      <c r="B246" s="30" t="n">
        <v>46169</v>
      </c>
      <c r="C246" s="29" t="s">
        <v>61</v>
      </c>
      <c r="D246" s="29" t="s">
        <v>72</v>
      </c>
      <c r="E246" s="29" t="n">
        <v>12</v>
      </c>
      <c r="F246" s="31" t="n">
        <v>0</v>
      </c>
      <c r="G246" s="14" t="str">
        <f aca="false">INDEX(Lists!$G$5:$G$12,MATCH(C246,Lists!$F$5:$F$12,0))</f>
        <v>South</v>
      </c>
      <c r="H246" s="14" t="str">
        <f aca="false">INDEX(Lists!$B$5:$B$12,MATCH(D246,Lists!$A$5:$A$12,0))</f>
        <v>Accessories</v>
      </c>
      <c r="I246" s="32" t="n">
        <f aca="false">INDEX(Lists!$C$5:$C$12,MATCH(D246,Lists!$A$5:$A$12,0))</f>
        <v>80</v>
      </c>
      <c r="J246" s="32" t="n">
        <f aca="false">INDEX(Lists!$D$5:$D$12,MATCH(D246,Lists!$A$5:$A$12,0))</f>
        <v>38</v>
      </c>
      <c r="K246" s="32" t="n">
        <f aca="false">E246*I246*(1-F246)</f>
        <v>960</v>
      </c>
      <c r="L246" s="32" t="n">
        <f aca="false">E246*J246</f>
        <v>456</v>
      </c>
      <c r="M246" s="32" t="n">
        <f aca="false">K246-L246</f>
        <v>504</v>
      </c>
      <c r="N246" s="33" t="n">
        <f aca="false">DATE(YEAR(B246),MONTH(B246),1)</f>
        <v>46143</v>
      </c>
    </row>
    <row r="247" customFormat="false" ht="15" hidden="false" customHeight="false" outlineLevel="0" collapsed="false">
      <c r="A247" s="29" t="s">
        <v>321</v>
      </c>
      <c r="B247" s="30" t="n">
        <v>46172</v>
      </c>
      <c r="C247" s="29" t="s">
        <v>86</v>
      </c>
      <c r="D247" s="29" t="s">
        <v>91</v>
      </c>
      <c r="E247" s="29" t="n">
        <v>11</v>
      </c>
      <c r="F247" s="31" t="n">
        <v>0.15</v>
      </c>
      <c r="G247" s="14" t="str">
        <f aca="false">INDEX(Lists!$G$5:$G$12,MATCH(C247,Lists!$F$5:$F$12,0))</f>
        <v>North</v>
      </c>
      <c r="H247" s="14" t="str">
        <f aca="false">INDEX(Lists!$B$5:$B$12,MATCH(D247,Lists!$A$5:$A$12,0))</f>
        <v>Audio</v>
      </c>
      <c r="I247" s="32" t="n">
        <f aca="false">INDEX(Lists!$C$5:$C$12,MATCH(D247,Lists!$A$5:$A$12,0))</f>
        <v>190</v>
      </c>
      <c r="J247" s="32" t="n">
        <f aca="false">INDEX(Lists!$D$5:$D$12,MATCH(D247,Lists!$A$5:$A$12,0))</f>
        <v>105</v>
      </c>
      <c r="K247" s="32" t="n">
        <f aca="false">E247*I247*(1-F247)</f>
        <v>1776.5</v>
      </c>
      <c r="L247" s="32" t="n">
        <f aca="false">E247*J247</f>
        <v>1155</v>
      </c>
      <c r="M247" s="32" t="n">
        <f aca="false">K247-L247</f>
        <v>621.5</v>
      </c>
      <c r="N247" s="33" t="n">
        <f aca="false">DATE(YEAR(B247),MONTH(B247),1)</f>
        <v>46143</v>
      </c>
    </row>
    <row r="248" customFormat="false" ht="15" hidden="false" customHeight="false" outlineLevel="0" collapsed="false">
      <c r="A248" s="29" t="s">
        <v>322</v>
      </c>
      <c r="B248" s="30" t="n">
        <v>46172</v>
      </c>
      <c r="C248" s="29" t="s">
        <v>64</v>
      </c>
      <c r="D248" s="29" t="s">
        <v>70</v>
      </c>
      <c r="E248" s="29" t="n">
        <v>7</v>
      </c>
      <c r="F248" s="31" t="n">
        <v>0.05</v>
      </c>
      <c r="G248" s="14" t="str">
        <f aca="false">INDEX(Lists!$G$5:$G$12,MATCH(C248,Lists!$F$5:$F$12,0))</f>
        <v>East</v>
      </c>
      <c r="H248" s="14" t="str">
        <f aca="false">INDEX(Lists!$B$5:$B$12,MATCH(D248,Lists!$A$5:$A$12,0))</f>
        <v>Displays</v>
      </c>
      <c r="I248" s="32" t="n">
        <f aca="false">INDEX(Lists!$C$5:$C$12,MATCH(D248,Lists!$A$5:$A$12,0))</f>
        <v>520</v>
      </c>
      <c r="J248" s="32" t="n">
        <f aca="false">INDEX(Lists!$D$5:$D$12,MATCH(D248,Lists!$A$5:$A$12,0))</f>
        <v>340</v>
      </c>
      <c r="K248" s="32" t="n">
        <f aca="false">E248*I248*(1-F248)</f>
        <v>3458</v>
      </c>
      <c r="L248" s="32" t="n">
        <f aca="false">E248*J248</f>
        <v>2380</v>
      </c>
      <c r="M248" s="32" t="n">
        <f aca="false">K248-L248</f>
        <v>1078</v>
      </c>
      <c r="N248" s="33" t="n">
        <f aca="false">DATE(YEAR(B248),MONTH(B248),1)</f>
        <v>46143</v>
      </c>
    </row>
    <row r="249" customFormat="false" ht="15" hidden="false" customHeight="false" outlineLevel="0" collapsed="false">
      <c r="A249" s="29" t="s">
        <v>323</v>
      </c>
      <c r="B249" s="30" t="n">
        <v>46173</v>
      </c>
      <c r="C249" s="29" t="s">
        <v>93</v>
      </c>
      <c r="D249" s="29" t="s">
        <v>72</v>
      </c>
      <c r="E249" s="29" t="n">
        <v>6</v>
      </c>
      <c r="F249" s="31" t="n">
        <v>0</v>
      </c>
      <c r="G249" s="14" t="str">
        <f aca="false">INDEX(Lists!$G$5:$G$12,MATCH(C249,Lists!$F$5:$F$12,0))</f>
        <v>West</v>
      </c>
      <c r="H249" s="14" t="str">
        <f aca="false">INDEX(Lists!$B$5:$B$12,MATCH(D249,Lists!$A$5:$A$12,0))</f>
        <v>Accessories</v>
      </c>
      <c r="I249" s="32" t="n">
        <f aca="false">INDEX(Lists!$C$5:$C$12,MATCH(D249,Lists!$A$5:$A$12,0))</f>
        <v>80</v>
      </c>
      <c r="J249" s="32" t="n">
        <f aca="false">INDEX(Lists!$D$5:$D$12,MATCH(D249,Lists!$A$5:$A$12,0))</f>
        <v>38</v>
      </c>
      <c r="K249" s="32" t="n">
        <f aca="false">E249*I249*(1-F249)</f>
        <v>480</v>
      </c>
      <c r="L249" s="32" t="n">
        <f aca="false">E249*J249</f>
        <v>228</v>
      </c>
      <c r="M249" s="32" t="n">
        <f aca="false">K249-L249</f>
        <v>252</v>
      </c>
      <c r="N249" s="33" t="n">
        <f aca="false">DATE(YEAR(B249),MONTH(B249),1)</f>
        <v>46143</v>
      </c>
    </row>
    <row r="250" customFormat="false" ht="15" hidden="false" customHeight="false" outlineLevel="0" collapsed="false">
      <c r="A250" s="29" t="s">
        <v>324</v>
      </c>
      <c r="B250" s="30" t="n">
        <v>46173</v>
      </c>
      <c r="C250" s="29" t="s">
        <v>83</v>
      </c>
      <c r="D250" s="29" t="s">
        <v>67</v>
      </c>
      <c r="E250" s="29" t="n">
        <v>17</v>
      </c>
      <c r="F250" s="31" t="n">
        <v>0</v>
      </c>
      <c r="G250" s="14" t="str">
        <f aca="false">INDEX(Lists!$G$5:$G$12,MATCH(C250,Lists!$F$5:$F$12,0))</f>
        <v>West</v>
      </c>
      <c r="H250" s="14" t="str">
        <f aca="false">INDEX(Lists!$B$5:$B$12,MATCH(D250,Lists!$A$5:$A$12,0))</f>
        <v>Accessories</v>
      </c>
      <c r="I250" s="32" t="n">
        <f aca="false">INDEX(Lists!$C$5:$C$12,MATCH(D250,Lists!$A$5:$A$12,0))</f>
        <v>120</v>
      </c>
      <c r="J250" s="32" t="n">
        <f aca="false">INDEX(Lists!$D$5:$D$12,MATCH(D250,Lists!$A$5:$A$12,0))</f>
        <v>62</v>
      </c>
      <c r="K250" s="32" t="n">
        <f aca="false">E250*I250*(1-F250)</f>
        <v>2040</v>
      </c>
      <c r="L250" s="32" t="n">
        <f aca="false">E250*J250</f>
        <v>1054</v>
      </c>
      <c r="M250" s="32" t="n">
        <f aca="false">K250-L250</f>
        <v>986</v>
      </c>
      <c r="N250" s="33" t="n">
        <f aca="false">DATE(YEAR(B250),MONTH(B250),1)</f>
        <v>46143</v>
      </c>
    </row>
    <row r="251" customFormat="false" ht="15" hidden="false" customHeight="false" outlineLevel="0" collapsed="false">
      <c r="A251" s="29" t="s">
        <v>325</v>
      </c>
      <c r="B251" s="30" t="n">
        <v>46173</v>
      </c>
      <c r="C251" s="29" t="s">
        <v>88</v>
      </c>
      <c r="D251" s="29" t="s">
        <v>70</v>
      </c>
      <c r="E251" s="29" t="n">
        <v>7</v>
      </c>
      <c r="F251" s="31" t="n">
        <v>0.1</v>
      </c>
      <c r="G251" s="14" t="str">
        <f aca="false">INDEX(Lists!$G$5:$G$12,MATCH(C251,Lists!$F$5:$F$12,0))</f>
        <v>North</v>
      </c>
      <c r="H251" s="14" t="str">
        <f aca="false">INDEX(Lists!$B$5:$B$12,MATCH(D251,Lists!$A$5:$A$12,0))</f>
        <v>Displays</v>
      </c>
      <c r="I251" s="32" t="n">
        <f aca="false">INDEX(Lists!$C$5:$C$12,MATCH(D251,Lists!$A$5:$A$12,0))</f>
        <v>520</v>
      </c>
      <c r="J251" s="32" t="n">
        <f aca="false">INDEX(Lists!$D$5:$D$12,MATCH(D251,Lists!$A$5:$A$12,0))</f>
        <v>340</v>
      </c>
      <c r="K251" s="32" t="n">
        <f aca="false">E251*I251*(1-F251)</f>
        <v>3276</v>
      </c>
      <c r="L251" s="32" t="n">
        <f aca="false">E251*J251</f>
        <v>2380</v>
      </c>
      <c r="M251" s="32" t="n">
        <f aca="false">K251-L251</f>
        <v>896</v>
      </c>
      <c r="N251" s="33" t="n">
        <f aca="false">DATE(YEAR(B251),MONTH(B251),1)</f>
        <v>46143</v>
      </c>
    </row>
    <row r="252" customFormat="false" ht="15" hidden="false" customHeight="false" outlineLevel="0" collapsed="false">
      <c r="A252" s="29" t="s">
        <v>326</v>
      </c>
      <c r="B252" s="30" t="n">
        <v>46174</v>
      </c>
      <c r="C252" s="29" t="s">
        <v>74</v>
      </c>
      <c r="D252" s="29" t="s">
        <v>62</v>
      </c>
      <c r="E252" s="29" t="n">
        <v>3</v>
      </c>
      <c r="F252" s="31" t="n">
        <v>0.05</v>
      </c>
      <c r="G252" s="14" t="str">
        <f aca="false">INDEX(Lists!$G$5:$G$12,MATCH(C252,Lists!$F$5:$F$12,0))</f>
        <v>South</v>
      </c>
      <c r="H252" s="14" t="str">
        <f aca="false">INDEX(Lists!$B$5:$B$12,MATCH(D252,Lists!$A$5:$A$12,0))</f>
        <v>Computers</v>
      </c>
      <c r="I252" s="32" t="n">
        <f aca="false">INDEX(Lists!$C$5:$C$12,MATCH(D252,Lists!$A$5:$A$12,0))</f>
        <v>1600</v>
      </c>
      <c r="J252" s="32" t="n">
        <f aca="false">INDEX(Lists!$D$5:$D$12,MATCH(D252,Lists!$A$5:$A$12,0))</f>
        <v>1100</v>
      </c>
      <c r="K252" s="32" t="n">
        <f aca="false">E252*I252*(1-F252)</f>
        <v>4560</v>
      </c>
      <c r="L252" s="32" t="n">
        <f aca="false">E252*J252</f>
        <v>3300</v>
      </c>
      <c r="M252" s="32" t="n">
        <f aca="false">K252-L252</f>
        <v>1260</v>
      </c>
      <c r="N252" s="33" t="n">
        <f aca="false">DATE(YEAR(B252),MONTH(B252),1)</f>
        <v>46174</v>
      </c>
    </row>
    <row r="253" customFormat="false" ht="15" hidden="false" customHeight="false" outlineLevel="0" collapsed="false">
      <c r="A253" s="29" t="s">
        <v>327</v>
      </c>
      <c r="B253" s="30" t="n">
        <v>46174</v>
      </c>
      <c r="C253" s="29" t="s">
        <v>88</v>
      </c>
      <c r="D253" s="29" t="s">
        <v>65</v>
      </c>
      <c r="E253" s="29" t="n">
        <v>5</v>
      </c>
      <c r="F253" s="31" t="n">
        <v>0</v>
      </c>
      <c r="G253" s="14" t="str">
        <f aca="false">INDEX(Lists!$G$5:$G$12,MATCH(C253,Lists!$F$5:$F$12,0))</f>
        <v>North</v>
      </c>
      <c r="H253" s="14" t="str">
        <f aca="false">INDEX(Lists!$B$5:$B$12,MATCH(D253,Lists!$A$5:$A$12,0))</f>
        <v>Accessories</v>
      </c>
      <c r="I253" s="32" t="n">
        <f aca="false">INDEX(Lists!$C$5:$C$12,MATCH(D253,Lists!$A$5:$A$12,0))</f>
        <v>260</v>
      </c>
      <c r="J253" s="32" t="n">
        <f aca="false">INDEX(Lists!$D$5:$D$12,MATCH(D253,Lists!$A$5:$A$12,0))</f>
        <v>150</v>
      </c>
      <c r="K253" s="32" t="n">
        <f aca="false">E253*I253*(1-F253)</f>
        <v>1300</v>
      </c>
      <c r="L253" s="32" t="n">
        <f aca="false">E253*J253</f>
        <v>750</v>
      </c>
      <c r="M253" s="32" t="n">
        <f aca="false">K253-L253</f>
        <v>550</v>
      </c>
      <c r="N253" s="33" t="n">
        <f aca="false">DATE(YEAR(B253),MONTH(B253),1)</f>
        <v>46174</v>
      </c>
    </row>
    <row r="254" customFormat="false" ht="15" hidden="false" customHeight="false" outlineLevel="0" collapsed="false">
      <c r="A254" s="29" t="s">
        <v>328</v>
      </c>
      <c r="B254" s="30" t="n">
        <v>46174</v>
      </c>
      <c r="C254" s="29" t="s">
        <v>93</v>
      </c>
      <c r="D254" s="29" t="s">
        <v>65</v>
      </c>
      <c r="E254" s="29" t="n">
        <v>8</v>
      </c>
      <c r="F254" s="31" t="n">
        <v>0</v>
      </c>
      <c r="G254" s="14" t="str">
        <f aca="false">INDEX(Lists!$G$5:$G$12,MATCH(C254,Lists!$F$5:$F$12,0))</f>
        <v>West</v>
      </c>
      <c r="H254" s="14" t="str">
        <f aca="false">INDEX(Lists!$B$5:$B$12,MATCH(D254,Lists!$A$5:$A$12,0))</f>
        <v>Accessories</v>
      </c>
      <c r="I254" s="32" t="n">
        <f aca="false">INDEX(Lists!$C$5:$C$12,MATCH(D254,Lists!$A$5:$A$12,0))</f>
        <v>260</v>
      </c>
      <c r="J254" s="32" t="n">
        <f aca="false">INDEX(Lists!$D$5:$D$12,MATCH(D254,Lists!$A$5:$A$12,0))</f>
        <v>150</v>
      </c>
      <c r="K254" s="32" t="n">
        <f aca="false">E254*I254*(1-F254)</f>
        <v>2080</v>
      </c>
      <c r="L254" s="32" t="n">
        <f aca="false">E254*J254</f>
        <v>1200</v>
      </c>
      <c r="M254" s="32" t="n">
        <f aca="false">K254-L254</f>
        <v>880</v>
      </c>
      <c r="N254" s="33" t="n">
        <f aca="false">DATE(YEAR(B254),MONTH(B254),1)</f>
        <v>46174</v>
      </c>
    </row>
    <row r="255" customFormat="false" ht="15" hidden="false" customHeight="false" outlineLevel="0" collapsed="false">
      <c r="A255" s="29" t="s">
        <v>329</v>
      </c>
      <c r="B255" s="30" t="n">
        <v>46176</v>
      </c>
      <c r="C255" s="29" t="s">
        <v>86</v>
      </c>
      <c r="D255" s="29" t="s">
        <v>65</v>
      </c>
      <c r="E255" s="29" t="n">
        <v>6</v>
      </c>
      <c r="F255" s="31" t="n">
        <v>0.1</v>
      </c>
      <c r="G255" s="14" t="str">
        <f aca="false">INDEX(Lists!$G$5:$G$12,MATCH(C255,Lists!$F$5:$F$12,0))</f>
        <v>North</v>
      </c>
      <c r="H255" s="14" t="str">
        <f aca="false">INDEX(Lists!$B$5:$B$12,MATCH(D255,Lists!$A$5:$A$12,0))</f>
        <v>Accessories</v>
      </c>
      <c r="I255" s="32" t="n">
        <f aca="false">INDEX(Lists!$C$5:$C$12,MATCH(D255,Lists!$A$5:$A$12,0))</f>
        <v>260</v>
      </c>
      <c r="J255" s="32" t="n">
        <f aca="false">INDEX(Lists!$D$5:$D$12,MATCH(D255,Lists!$A$5:$A$12,0))</f>
        <v>150</v>
      </c>
      <c r="K255" s="32" t="n">
        <f aca="false">E255*I255*(1-F255)</f>
        <v>1404</v>
      </c>
      <c r="L255" s="32" t="n">
        <f aca="false">E255*J255</f>
        <v>900</v>
      </c>
      <c r="M255" s="32" t="n">
        <f aca="false">K255-L255</f>
        <v>504</v>
      </c>
      <c r="N255" s="33" t="n">
        <f aca="false">DATE(YEAR(B255),MONTH(B255),1)</f>
        <v>46174</v>
      </c>
    </row>
    <row r="256" customFormat="false" ht="15" hidden="false" customHeight="false" outlineLevel="0" collapsed="false">
      <c r="A256" s="29" t="s">
        <v>330</v>
      </c>
      <c r="B256" s="30" t="n">
        <v>46177</v>
      </c>
      <c r="C256" s="29" t="s">
        <v>93</v>
      </c>
      <c r="D256" s="29" t="s">
        <v>72</v>
      </c>
      <c r="E256" s="29" t="n">
        <v>2</v>
      </c>
      <c r="F256" s="31" t="n">
        <v>0</v>
      </c>
      <c r="G256" s="14" t="str">
        <f aca="false">INDEX(Lists!$G$5:$G$12,MATCH(C256,Lists!$F$5:$F$12,0))</f>
        <v>West</v>
      </c>
      <c r="H256" s="14" t="str">
        <f aca="false">INDEX(Lists!$B$5:$B$12,MATCH(D256,Lists!$A$5:$A$12,0))</f>
        <v>Accessories</v>
      </c>
      <c r="I256" s="32" t="n">
        <f aca="false">INDEX(Lists!$C$5:$C$12,MATCH(D256,Lists!$A$5:$A$12,0))</f>
        <v>80</v>
      </c>
      <c r="J256" s="32" t="n">
        <f aca="false">INDEX(Lists!$D$5:$D$12,MATCH(D256,Lists!$A$5:$A$12,0))</f>
        <v>38</v>
      </c>
      <c r="K256" s="32" t="n">
        <f aca="false">E256*I256*(1-F256)</f>
        <v>160</v>
      </c>
      <c r="L256" s="32" t="n">
        <f aca="false">E256*J256</f>
        <v>76</v>
      </c>
      <c r="M256" s="32" t="n">
        <f aca="false">K256-L256</f>
        <v>84</v>
      </c>
      <c r="N256" s="33" t="n">
        <f aca="false">DATE(YEAR(B256),MONTH(B256),1)</f>
        <v>46174</v>
      </c>
    </row>
    <row r="257" customFormat="false" ht="15" hidden="false" customHeight="false" outlineLevel="0" collapsed="false">
      <c r="A257" s="29" t="s">
        <v>331</v>
      </c>
      <c r="B257" s="30" t="n">
        <v>46178</v>
      </c>
      <c r="C257" s="29" t="s">
        <v>93</v>
      </c>
      <c r="D257" s="29" t="s">
        <v>62</v>
      </c>
      <c r="E257" s="29" t="n">
        <v>2</v>
      </c>
      <c r="F257" s="31" t="n">
        <v>0</v>
      </c>
      <c r="G257" s="14" t="str">
        <f aca="false">INDEX(Lists!$G$5:$G$12,MATCH(C257,Lists!$F$5:$F$12,0))</f>
        <v>West</v>
      </c>
      <c r="H257" s="14" t="str">
        <f aca="false">INDEX(Lists!$B$5:$B$12,MATCH(D257,Lists!$A$5:$A$12,0))</f>
        <v>Computers</v>
      </c>
      <c r="I257" s="32" t="n">
        <f aca="false">INDEX(Lists!$C$5:$C$12,MATCH(D257,Lists!$A$5:$A$12,0))</f>
        <v>1600</v>
      </c>
      <c r="J257" s="32" t="n">
        <f aca="false">INDEX(Lists!$D$5:$D$12,MATCH(D257,Lists!$A$5:$A$12,0))</f>
        <v>1100</v>
      </c>
      <c r="K257" s="32" t="n">
        <f aca="false">E257*I257*(1-F257)</f>
        <v>3200</v>
      </c>
      <c r="L257" s="32" t="n">
        <f aca="false">E257*J257</f>
        <v>2200</v>
      </c>
      <c r="M257" s="32" t="n">
        <f aca="false">K257-L257</f>
        <v>1000</v>
      </c>
      <c r="N257" s="33" t="n">
        <f aca="false">DATE(YEAR(B257),MONTH(B257),1)</f>
        <v>46174</v>
      </c>
    </row>
    <row r="258" customFormat="false" ht="15" hidden="false" customHeight="false" outlineLevel="0" collapsed="false">
      <c r="A258" s="29" t="s">
        <v>332</v>
      </c>
      <c r="B258" s="30" t="n">
        <v>46180</v>
      </c>
      <c r="C258" s="29" t="s">
        <v>74</v>
      </c>
      <c r="D258" s="29" t="s">
        <v>75</v>
      </c>
      <c r="E258" s="29" t="n">
        <v>20</v>
      </c>
      <c r="F258" s="31" t="n">
        <v>0.15</v>
      </c>
      <c r="G258" s="14" t="str">
        <f aca="false">INDEX(Lists!$G$5:$G$12,MATCH(C258,Lists!$F$5:$F$12,0))</f>
        <v>South</v>
      </c>
      <c r="H258" s="14" t="str">
        <f aca="false">INDEX(Lists!$B$5:$B$12,MATCH(D258,Lists!$A$5:$A$12,0))</f>
        <v>Audio</v>
      </c>
      <c r="I258" s="32" t="n">
        <f aca="false">INDEX(Lists!$C$5:$C$12,MATCH(D258,Lists!$A$5:$A$12,0))</f>
        <v>140</v>
      </c>
      <c r="J258" s="32" t="n">
        <f aca="false">INDEX(Lists!$D$5:$D$12,MATCH(D258,Lists!$A$5:$A$12,0))</f>
        <v>70</v>
      </c>
      <c r="K258" s="32" t="n">
        <f aca="false">E258*I258*(1-F258)</f>
        <v>2380</v>
      </c>
      <c r="L258" s="32" t="n">
        <f aca="false">E258*J258</f>
        <v>1400</v>
      </c>
      <c r="M258" s="32" t="n">
        <f aca="false">K258-L258</f>
        <v>980</v>
      </c>
      <c r="N258" s="33" t="n">
        <f aca="false">DATE(YEAR(B258),MONTH(B258),1)</f>
        <v>46174</v>
      </c>
    </row>
    <row r="259" customFormat="false" ht="15" hidden="false" customHeight="false" outlineLevel="0" collapsed="false">
      <c r="A259" s="29" t="s">
        <v>333</v>
      </c>
      <c r="B259" s="30" t="n">
        <v>46181</v>
      </c>
      <c r="C259" s="29" t="s">
        <v>83</v>
      </c>
      <c r="D259" s="29" t="s">
        <v>72</v>
      </c>
      <c r="E259" s="29" t="n">
        <v>5</v>
      </c>
      <c r="F259" s="31" t="n">
        <v>0</v>
      </c>
      <c r="G259" s="14" t="str">
        <f aca="false">INDEX(Lists!$G$5:$G$12,MATCH(C259,Lists!$F$5:$F$12,0))</f>
        <v>West</v>
      </c>
      <c r="H259" s="14" t="str">
        <f aca="false">INDEX(Lists!$B$5:$B$12,MATCH(D259,Lists!$A$5:$A$12,0))</f>
        <v>Accessories</v>
      </c>
      <c r="I259" s="32" t="n">
        <f aca="false">INDEX(Lists!$C$5:$C$12,MATCH(D259,Lists!$A$5:$A$12,0))</f>
        <v>80</v>
      </c>
      <c r="J259" s="32" t="n">
        <f aca="false">INDEX(Lists!$D$5:$D$12,MATCH(D259,Lists!$A$5:$A$12,0))</f>
        <v>38</v>
      </c>
      <c r="K259" s="32" t="n">
        <f aca="false">E259*I259*(1-F259)</f>
        <v>400</v>
      </c>
      <c r="L259" s="32" t="n">
        <f aca="false">E259*J259</f>
        <v>190</v>
      </c>
      <c r="M259" s="32" t="n">
        <f aca="false">K259-L259</f>
        <v>210</v>
      </c>
      <c r="N259" s="33" t="n">
        <f aca="false">DATE(YEAR(B259),MONTH(B259),1)</f>
        <v>46174</v>
      </c>
    </row>
    <row r="260" customFormat="false" ht="15" hidden="false" customHeight="false" outlineLevel="0" collapsed="false">
      <c r="A260" s="29" t="s">
        <v>334</v>
      </c>
      <c r="B260" s="30" t="n">
        <v>46181</v>
      </c>
      <c r="C260" s="29" t="s">
        <v>64</v>
      </c>
      <c r="D260" s="29" t="s">
        <v>80</v>
      </c>
      <c r="E260" s="29" t="n">
        <v>4</v>
      </c>
      <c r="F260" s="31" t="n">
        <v>0</v>
      </c>
      <c r="G260" s="14" t="str">
        <f aca="false">INDEX(Lists!$G$5:$G$12,MATCH(C260,Lists!$F$5:$F$12,0))</f>
        <v>East</v>
      </c>
      <c r="H260" s="14" t="str">
        <f aca="false">INDEX(Lists!$B$5:$B$12,MATCH(D260,Lists!$A$5:$A$12,0))</f>
        <v>Computers</v>
      </c>
      <c r="I260" s="32" t="n">
        <f aca="false">INDEX(Lists!$C$5:$C$12,MATCH(D260,Lists!$A$5:$A$12,0))</f>
        <v>2400</v>
      </c>
      <c r="J260" s="32" t="n">
        <f aca="false">INDEX(Lists!$D$5:$D$12,MATCH(D260,Lists!$A$5:$A$12,0))</f>
        <v>1650</v>
      </c>
      <c r="K260" s="32" t="n">
        <f aca="false">E260*I260*(1-F260)</f>
        <v>9600</v>
      </c>
      <c r="L260" s="32" t="n">
        <f aca="false">E260*J260</f>
        <v>6600</v>
      </c>
      <c r="M260" s="32" t="n">
        <f aca="false">K260-L260</f>
        <v>3000</v>
      </c>
      <c r="N260" s="33" t="n">
        <f aca="false">DATE(YEAR(B260),MONTH(B260),1)</f>
        <v>46174</v>
      </c>
    </row>
    <row r="261" customFormat="false" ht="15" hidden="false" customHeight="false" outlineLevel="0" collapsed="false">
      <c r="A261" s="29" t="s">
        <v>335</v>
      </c>
      <c r="B261" s="30" t="n">
        <v>46181</v>
      </c>
      <c r="C261" s="29" t="s">
        <v>86</v>
      </c>
      <c r="D261" s="29" t="s">
        <v>75</v>
      </c>
      <c r="E261" s="29" t="n">
        <v>5</v>
      </c>
      <c r="F261" s="31" t="n">
        <v>0.05</v>
      </c>
      <c r="G261" s="14" t="str">
        <f aca="false">INDEX(Lists!$G$5:$G$12,MATCH(C261,Lists!$F$5:$F$12,0))</f>
        <v>North</v>
      </c>
      <c r="H261" s="14" t="str">
        <f aca="false">INDEX(Lists!$B$5:$B$12,MATCH(D261,Lists!$A$5:$A$12,0))</f>
        <v>Audio</v>
      </c>
      <c r="I261" s="32" t="n">
        <f aca="false">INDEX(Lists!$C$5:$C$12,MATCH(D261,Lists!$A$5:$A$12,0))</f>
        <v>140</v>
      </c>
      <c r="J261" s="32" t="n">
        <f aca="false">INDEX(Lists!$D$5:$D$12,MATCH(D261,Lists!$A$5:$A$12,0))</f>
        <v>70</v>
      </c>
      <c r="K261" s="32" t="n">
        <f aca="false">E261*I261*(1-F261)</f>
        <v>665</v>
      </c>
      <c r="L261" s="32" t="n">
        <f aca="false">E261*J261</f>
        <v>350</v>
      </c>
      <c r="M261" s="32" t="n">
        <f aca="false">K261-L261</f>
        <v>315</v>
      </c>
      <c r="N261" s="33" t="n">
        <f aca="false">DATE(YEAR(B261),MONTH(B261),1)</f>
        <v>46174</v>
      </c>
    </row>
    <row r="262" customFormat="false" ht="15" hidden="false" customHeight="false" outlineLevel="0" collapsed="false">
      <c r="A262" s="29" t="s">
        <v>336</v>
      </c>
      <c r="B262" s="30" t="n">
        <v>46182</v>
      </c>
      <c r="C262" s="29" t="s">
        <v>64</v>
      </c>
      <c r="D262" s="29" t="s">
        <v>72</v>
      </c>
      <c r="E262" s="29" t="n">
        <v>15</v>
      </c>
      <c r="F262" s="31" t="n">
        <v>0</v>
      </c>
      <c r="G262" s="14" t="str">
        <f aca="false">INDEX(Lists!$G$5:$G$12,MATCH(C262,Lists!$F$5:$F$12,0))</f>
        <v>East</v>
      </c>
      <c r="H262" s="14" t="str">
        <f aca="false">INDEX(Lists!$B$5:$B$12,MATCH(D262,Lists!$A$5:$A$12,0))</f>
        <v>Accessories</v>
      </c>
      <c r="I262" s="32" t="n">
        <f aca="false">INDEX(Lists!$C$5:$C$12,MATCH(D262,Lists!$A$5:$A$12,0))</f>
        <v>80</v>
      </c>
      <c r="J262" s="32" t="n">
        <f aca="false">INDEX(Lists!$D$5:$D$12,MATCH(D262,Lists!$A$5:$A$12,0))</f>
        <v>38</v>
      </c>
      <c r="K262" s="32" t="n">
        <f aca="false">E262*I262*(1-F262)</f>
        <v>1200</v>
      </c>
      <c r="L262" s="32" t="n">
        <f aca="false">E262*J262</f>
        <v>570</v>
      </c>
      <c r="M262" s="32" t="n">
        <f aca="false">K262-L262</f>
        <v>630</v>
      </c>
      <c r="N262" s="33" t="n">
        <f aca="false">DATE(YEAR(B262),MONTH(B262),1)</f>
        <v>46174</v>
      </c>
    </row>
    <row r="263" customFormat="false" ht="15" hidden="false" customHeight="false" outlineLevel="0" collapsed="false">
      <c r="A263" s="29" t="s">
        <v>337</v>
      </c>
      <c r="B263" s="30" t="n">
        <v>46184</v>
      </c>
      <c r="C263" s="29" t="s">
        <v>74</v>
      </c>
      <c r="D263" s="29" t="s">
        <v>72</v>
      </c>
      <c r="E263" s="29" t="n">
        <v>12</v>
      </c>
      <c r="F263" s="31" t="n">
        <v>0.05</v>
      </c>
      <c r="G263" s="14" t="str">
        <f aca="false">INDEX(Lists!$G$5:$G$12,MATCH(C263,Lists!$F$5:$F$12,0))</f>
        <v>South</v>
      </c>
      <c r="H263" s="14" t="str">
        <f aca="false">INDEX(Lists!$B$5:$B$12,MATCH(D263,Lists!$A$5:$A$12,0))</f>
        <v>Accessories</v>
      </c>
      <c r="I263" s="32" t="n">
        <f aca="false">INDEX(Lists!$C$5:$C$12,MATCH(D263,Lists!$A$5:$A$12,0))</f>
        <v>80</v>
      </c>
      <c r="J263" s="32" t="n">
        <f aca="false">INDEX(Lists!$D$5:$D$12,MATCH(D263,Lists!$A$5:$A$12,0))</f>
        <v>38</v>
      </c>
      <c r="K263" s="32" t="n">
        <f aca="false">E263*I263*(1-F263)</f>
        <v>912</v>
      </c>
      <c r="L263" s="32" t="n">
        <f aca="false">E263*J263</f>
        <v>456</v>
      </c>
      <c r="M263" s="32" t="n">
        <f aca="false">K263-L263</f>
        <v>456</v>
      </c>
      <c r="N263" s="33" t="n">
        <f aca="false">DATE(YEAR(B263),MONTH(B263),1)</f>
        <v>46174</v>
      </c>
    </row>
    <row r="264" customFormat="false" ht="15" hidden="false" customHeight="false" outlineLevel="0" collapsed="false">
      <c r="A264" s="29" t="s">
        <v>338</v>
      </c>
      <c r="B264" s="30" t="n">
        <v>46184</v>
      </c>
      <c r="C264" s="29" t="s">
        <v>69</v>
      </c>
      <c r="D264" s="29" t="s">
        <v>67</v>
      </c>
      <c r="E264" s="29" t="n">
        <v>4</v>
      </c>
      <c r="F264" s="31" t="n">
        <v>0</v>
      </c>
      <c r="G264" s="14" t="str">
        <f aca="false">INDEX(Lists!$G$5:$G$12,MATCH(C264,Lists!$F$5:$F$12,0))</f>
        <v>East</v>
      </c>
      <c r="H264" s="14" t="str">
        <f aca="false">INDEX(Lists!$B$5:$B$12,MATCH(D264,Lists!$A$5:$A$12,0))</f>
        <v>Accessories</v>
      </c>
      <c r="I264" s="32" t="n">
        <f aca="false">INDEX(Lists!$C$5:$C$12,MATCH(D264,Lists!$A$5:$A$12,0))</f>
        <v>120</v>
      </c>
      <c r="J264" s="32" t="n">
        <f aca="false">INDEX(Lists!$D$5:$D$12,MATCH(D264,Lists!$A$5:$A$12,0))</f>
        <v>62</v>
      </c>
      <c r="K264" s="32" t="n">
        <f aca="false">E264*I264*(1-F264)</f>
        <v>480</v>
      </c>
      <c r="L264" s="32" t="n">
        <f aca="false">E264*J264</f>
        <v>248</v>
      </c>
      <c r="M264" s="32" t="n">
        <f aca="false">K264-L264</f>
        <v>232</v>
      </c>
      <c r="N264" s="33" t="n">
        <f aca="false">DATE(YEAR(B264),MONTH(B264),1)</f>
        <v>46174</v>
      </c>
    </row>
    <row r="265" customFormat="false" ht="15" hidden="false" customHeight="false" outlineLevel="0" collapsed="false">
      <c r="A265" s="29" t="s">
        <v>339</v>
      </c>
      <c r="B265" s="30" t="n">
        <v>46184</v>
      </c>
      <c r="C265" s="29" t="s">
        <v>74</v>
      </c>
      <c r="D265" s="29" t="s">
        <v>80</v>
      </c>
      <c r="E265" s="29" t="n">
        <v>4</v>
      </c>
      <c r="F265" s="31" t="n">
        <v>0.05</v>
      </c>
      <c r="G265" s="14" t="str">
        <f aca="false">INDEX(Lists!$G$5:$G$12,MATCH(C265,Lists!$F$5:$F$12,0))</f>
        <v>South</v>
      </c>
      <c r="H265" s="14" t="str">
        <f aca="false">INDEX(Lists!$B$5:$B$12,MATCH(D265,Lists!$A$5:$A$12,0))</f>
        <v>Computers</v>
      </c>
      <c r="I265" s="32" t="n">
        <f aca="false">INDEX(Lists!$C$5:$C$12,MATCH(D265,Lists!$A$5:$A$12,0))</f>
        <v>2400</v>
      </c>
      <c r="J265" s="32" t="n">
        <f aca="false">INDEX(Lists!$D$5:$D$12,MATCH(D265,Lists!$A$5:$A$12,0))</f>
        <v>1650</v>
      </c>
      <c r="K265" s="32" t="n">
        <f aca="false">E265*I265*(1-F265)</f>
        <v>9120</v>
      </c>
      <c r="L265" s="32" t="n">
        <f aca="false">E265*J265</f>
        <v>6600</v>
      </c>
      <c r="M265" s="32" t="n">
        <f aca="false">K265-L265</f>
        <v>2520</v>
      </c>
      <c r="N265" s="33" t="n">
        <f aca="false">DATE(YEAR(B265),MONTH(B265),1)</f>
        <v>46174</v>
      </c>
    </row>
    <row r="266" customFormat="false" ht="15" hidden="false" customHeight="false" outlineLevel="0" collapsed="false">
      <c r="A266" s="29" t="s">
        <v>340</v>
      </c>
      <c r="B266" s="30" t="n">
        <v>46185</v>
      </c>
      <c r="C266" s="29" t="s">
        <v>88</v>
      </c>
      <c r="D266" s="29" t="s">
        <v>75</v>
      </c>
      <c r="E266" s="29" t="n">
        <v>9</v>
      </c>
      <c r="F266" s="31" t="n">
        <v>0</v>
      </c>
      <c r="G266" s="14" t="str">
        <f aca="false">INDEX(Lists!$G$5:$G$12,MATCH(C266,Lists!$F$5:$F$12,0))</f>
        <v>North</v>
      </c>
      <c r="H266" s="14" t="str">
        <f aca="false">INDEX(Lists!$B$5:$B$12,MATCH(D266,Lists!$A$5:$A$12,0))</f>
        <v>Audio</v>
      </c>
      <c r="I266" s="32" t="n">
        <f aca="false">INDEX(Lists!$C$5:$C$12,MATCH(D266,Lists!$A$5:$A$12,0))</f>
        <v>140</v>
      </c>
      <c r="J266" s="32" t="n">
        <f aca="false">INDEX(Lists!$D$5:$D$12,MATCH(D266,Lists!$A$5:$A$12,0))</f>
        <v>70</v>
      </c>
      <c r="K266" s="32" t="n">
        <f aca="false">E266*I266*(1-F266)</f>
        <v>1260</v>
      </c>
      <c r="L266" s="32" t="n">
        <f aca="false">E266*J266</f>
        <v>630</v>
      </c>
      <c r="M266" s="32" t="n">
        <f aca="false">K266-L266</f>
        <v>630</v>
      </c>
      <c r="N266" s="33" t="n">
        <f aca="false">DATE(YEAR(B266),MONTH(B266),1)</f>
        <v>46174</v>
      </c>
    </row>
    <row r="267" customFormat="false" ht="15" hidden="false" customHeight="false" outlineLevel="0" collapsed="false">
      <c r="A267" s="29" t="s">
        <v>341</v>
      </c>
      <c r="B267" s="30" t="n">
        <v>46185</v>
      </c>
      <c r="C267" s="29" t="s">
        <v>61</v>
      </c>
      <c r="D267" s="29" t="s">
        <v>72</v>
      </c>
      <c r="E267" s="29" t="n">
        <v>10</v>
      </c>
      <c r="F267" s="31" t="n">
        <v>0.05</v>
      </c>
      <c r="G267" s="14" t="str">
        <f aca="false">INDEX(Lists!$G$5:$G$12,MATCH(C267,Lists!$F$5:$F$12,0))</f>
        <v>South</v>
      </c>
      <c r="H267" s="14" t="str">
        <f aca="false">INDEX(Lists!$B$5:$B$12,MATCH(D267,Lists!$A$5:$A$12,0))</f>
        <v>Accessories</v>
      </c>
      <c r="I267" s="32" t="n">
        <f aca="false">INDEX(Lists!$C$5:$C$12,MATCH(D267,Lists!$A$5:$A$12,0))</f>
        <v>80</v>
      </c>
      <c r="J267" s="32" t="n">
        <f aca="false">INDEX(Lists!$D$5:$D$12,MATCH(D267,Lists!$A$5:$A$12,0))</f>
        <v>38</v>
      </c>
      <c r="K267" s="32" t="n">
        <f aca="false">E267*I267*(1-F267)</f>
        <v>760</v>
      </c>
      <c r="L267" s="32" t="n">
        <f aca="false">E267*J267</f>
        <v>380</v>
      </c>
      <c r="M267" s="32" t="n">
        <f aca="false">K267-L267</f>
        <v>380</v>
      </c>
      <c r="N267" s="33" t="n">
        <f aca="false">DATE(YEAR(B267),MONTH(B267),1)</f>
        <v>46174</v>
      </c>
    </row>
    <row r="268" customFormat="false" ht="15" hidden="false" customHeight="false" outlineLevel="0" collapsed="false">
      <c r="A268" s="29" t="s">
        <v>342</v>
      </c>
      <c r="B268" s="30" t="n">
        <v>46186</v>
      </c>
      <c r="C268" s="29" t="s">
        <v>83</v>
      </c>
      <c r="D268" s="29" t="s">
        <v>72</v>
      </c>
      <c r="E268" s="29" t="n">
        <v>4</v>
      </c>
      <c r="F268" s="31" t="n">
        <v>0</v>
      </c>
      <c r="G268" s="14" t="str">
        <f aca="false">INDEX(Lists!$G$5:$G$12,MATCH(C268,Lists!$F$5:$F$12,0))</f>
        <v>West</v>
      </c>
      <c r="H268" s="14" t="str">
        <f aca="false">INDEX(Lists!$B$5:$B$12,MATCH(D268,Lists!$A$5:$A$12,0))</f>
        <v>Accessories</v>
      </c>
      <c r="I268" s="32" t="n">
        <f aca="false">INDEX(Lists!$C$5:$C$12,MATCH(D268,Lists!$A$5:$A$12,0))</f>
        <v>80</v>
      </c>
      <c r="J268" s="32" t="n">
        <f aca="false">INDEX(Lists!$D$5:$D$12,MATCH(D268,Lists!$A$5:$A$12,0))</f>
        <v>38</v>
      </c>
      <c r="K268" s="32" t="n">
        <f aca="false">E268*I268*(1-F268)</f>
        <v>320</v>
      </c>
      <c r="L268" s="32" t="n">
        <f aca="false">E268*J268</f>
        <v>152</v>
      </c>
      <c r="M268" s="32" t="n">
        <f aca="false">K268-L268</f>
        <v>168</v>
      </c>
      <c r="N268" s="33" t="n">
        <f aca="false">DATE(YEAR(B268),MONTH(B268),1)</f>
        <v>46174</v>
      </c>
    </row>
    <row r="269" customFormat="false" ht="15" hidden="false" customHeight="false" outlineLevel="0" collapsed="false">
      <c r="A269" s="29" t="s">
        <v>343</v>
      </c>
      <c r="B269" s="30" t="n">
        <v>46186</v>
      </c>
      <c r="C269" s="29" t="s">
        <v>88</v>
      </c>
      <c r="D269" s="29" t="s">
        <v>62</v>
      </c>
      <c r="E269" s="29" t="n">
        <v>2</v>
      </c>
      <c r="F269" s="31" t="n">
        <v>0.05</v>
      </c>
      <c r="G269" s="14" t="str">
        <f aca="false">INDEX(Lists!$G$5:$G$12,MATCH(C269,Lists!$F$5:$F$12,0))</f>
        <v>North</v>
      </c>
      <c r="H269" s="14" t="str">
        <f aca="false">INDEX(Lists!$B$5:$B$12,MATCH(D269,Lists!$A$5:$A$12,0))</f>
        <v>Computers</v>
      </c>
      <c r="I269" s="32" t="n">
        <f aca="false">INDEX(Lists!$C$5:$C$12,MATCH(D269,Lists!$A$5:$A$12,0))</f>
        <v>1600</v>
      </c>
      <c r="J269" s="32" t="n">
        <f aca="false">INDEX(Lists!$D$5:$D$12,MATCH(D269,Lists!$A$5:$A$12,0))</f>
        <v>1100</v>
      </c>
      <c r="K269" s="32" t="n">
        <f aca="false">E269*I269*(1-F269)</f>
        <v>3040</v>
      </c>
      <c r="L269" s="32" t="n">
        <f aca="false">E269*J269</f>
        <v>2200</v>
      </c>
      <c r="M269" s="32" t="n">
        <f aca="false">K269-L269</f>
        <v>840</v>
      </c>
      <c r="N269" s="33" t="n">
        <f aca="false">DATE(YEAR(B269),MONTH(B269),1)</f>
        <v>46174</v>
      </c>
    </row>
    <row r="270" customFormat="false" ht="15" hidden="false" customHeight="false" outlineLevel="0" collapsed="false">
      <c r="A270" s="29" t="s">
        <v>344</v>
      </c>
      <c r="B270" s="30" t="n">
        <v>46187</v>
      </c>
      <c r="C270" s="29" t="s">
        <v>83</v>
      </c>
      <c r="D270" s="29" t="s">
        <v>91</v>
      </c>
      <c r="E270" s="29" t="n">
        <v>11</v>
      </c>
      <c r="F270" s="31" t="n">
        <v>0</v>
      </c>
      <c r="G270" s="14" t="str">
        <f aca="false">INDEX(Lists!$G$5:$G$12,MATCH(C270,Lists!$F$5:$F$12,0))</f>
        <v>West</v>
      </c>
      <c r="H270" s="14" t="str">
        <f aca="false">INDEX(Lists!$B$5:$B$12,MATCH(D270,Lists!$A$5:$A$12,0))</f>
        <v>Audio</v>
      </c>
      <c r="I270" s="32" t="n">
        <f aca="false">INDEX(Lists!$C$5:$C$12,MATCH(D270,Lists!$A$5:$A$12,0))</f>
        <v>190</v>
      </c>
      <c r="J270" s="32" t="n">
        <f aca="false">INDEX(Lists!$D$5:$D$12,MATCH(D270,Lists!$A$5:$A$12,0))</f>
        <v>105</v>
      </c>
      <c r="K270" s="32" t="n">
        <f aca="false">E270*I270*(1-F270)</f>
        <v>2090</v>
      </c>
      <c r="L270" s="32" t="n">
        <f aca="false">E270*J270</f>
        <v>1155</v>
      </c>
      <c r="M270" s="32" t="n">
        <f aca="false">K270-L270</f>
        <v>935</v>
      </c>
      <c r="N270" s="33" t="n">
        <f aca="false">DATE(YEAR(B270),MONTH(B270),1)</f>
        <v>46174</v>
      </c>
    </row>
    <row r="271" customFormat="false" ht="15" hidden="false" customHeight="false" outlineLevel="0" collapsed="false">
      <c r="A271" s="29" t="s">
        <v>345</v>
      </c>
      <c r="B271" s="30" t="n">
        <v>46188</v>
      </c>
      <c r="C271" s="29" t="s">
        <v>88</v>
      </c>
      <c r="D271" s="29" t="s">
        <v>72</v>
      </c>
      <c r="E271" s="29" t="n">
        <v>18</v>
      </c>
      <c r="F271" s="31" t="n">
        <v>0.05</v>
      </c>
      <c r="G271" s="14" t="str">
        <f aca="false">INDEX(Lists!$G$5:$G$12,MATCH(C271,Lists!$F$5:$F$12,0))</f>
        <v>North</v>
      </c>
      <c r="H271" s="14" t="str">
        <f aca="false">INDEX(Lists!$B$5:$B$12,MATCH(D271,Lists!$A$5:$A$12,0))</f>
        <v>Accessories</v>
      </c>
      <c r="I271" s="32" t="n">
        <f aca="false">INDEX(Lists!$C$5:$C$12,MATCH(D271,Lists!$A$5:$A$12,0))</f>
        <v>80</v>
      </c>
      <c r="J271" s="32" t="n">
        <f aca="false">INDEX(Lists!$D$5:$D$12,MATCH(D271,Lists!$A$5:$A$12,0))</f>
        <v>38</v>
      </c>
      <c r="K271" s="32" t="n">
        <f aca="false">E271*I271*(1-F271)</f>
        <v>1368</v>
      </c>
      <c r="L271" s="32" t="n">
        <f aca="false">E271*J271</f>
        <v>684</v>
      </c>
      <c r="M271" s="32" t="n">
        <f aca="false">K271-L271</f>
        <v>684</v>
      </c>
      <c r="N271" s="33" t="n">
        <f aca="false">DATE(YEAR(B271),MONTH(B271),1)</f>
        <v>46174</v>
      </c>
    </row>
    <row r="272" customFormat="false" ht="15" hidden="false" customHeight="false" outlineLevel="0" collapsed="false">
      <c r="A272" s="29" t="s">
        <v>346</v>
      </c>
      <c r="B272" s="30" t="n">
        <v>46189</v>
      </c>
      <c r="C272" s="29" t="s">
        <v>69</v>
      </c>
      <c r="D272" s="29" t="s">
        <v>70</v>
      </c>
      <c r="E272" s="29" t="n">
        <v>3</v>
      </c>
      <c r="F272" s="31" t="n">
        <v>0.15</v>
      </c>
      <c r="G272" s="14" t="str">
        <f aca="false">INDEX(Lists!$G$5:$G$12,MATCH(C272,Lists!$F$5:$F$12,0))</f>
        <v>East</v>
      </c>
      <c r="H272" s="14" t="str">
        <f aca="false">INDEX(Lists!$B$5:$B$12,MATCH(D272,Lists!$A$5:$A$12,0))</f>
        <v>Displays</v>
      </c>
      <c r="I272" s="32" t="n">
        <f aca="false">INDEX(Lists!$C$5:$C$12,MATCH(D272,Lists!$A$5:$A$12,0))</f>
        <v>520</v>
      </c>
      <c r="J272" s="32" t="n">
        <f aca="false">INDEX(Lists!$D$5:$D$12,MATCH(D272,Lists!$A$5:$A$12,0))</f>
        <v>340</v>
      </c>
      <c r="K272" s="32" t="n">
        <f aca="false">E272*I272*(1-F272)</f>
        <v>1326</v>
      </c>
      <c r="L272" s="32" t="n">
        <f aca="false">E272*J272</f>
        <v>1020</v>
      </c>
      <c r="M272" s="32" t="n">
        <f aca="false">K272-L272</f>
        <v>306</v>
      </c>
      <c r="N272" s="33" t="n">
        <f aca="false">DATE(YEAR(B272),MONTH(B272),1)</f>
        <v>46174</v>
      </c>
    </row>
    <row r="273" customFormat="false" ht="15" hidden="false" customHeight="false" outlineLevel="0" collapsed="false">
      <c r="A273" s="29" t="s">
        <v>347</v>
      </c>
      <c r="B273" s="30" t="n">
        <v>46191</v>
      </c>
      <c r="C273" s="29" t="s">
        <v>74</v>
      </c>
      <c r="D273" s="29" t="s">
        <v>72</v>
      </c>
      <c r="E273" s="29" t="n">
        <v>12</v>
      </c>
      <c r="F273" s="31" t="n">
        <v>0.15</v>
      </c>
      <c r="G273" s="14" t="str">
        <f aca="false">INDEX(Lists!$G$5:$G$12,MATCH(C273,Lists!$F$5:$F$12,0))</f>
        <v>South</v>
      </c>
      <c r="H273" s="14" t="str">
        <f aca="false">INDEX(Lists!$B$5:$B$12,MATCH(D273,Lists!$A$5:$A$12,0))</f>
        <v>Accessories</v>
      </c>
      <c r="I273" s="32" t="n">
        <f aca="false">INDEX(Lists!$C$5:$C$12,MATCH(D273,Lists!$A$5:$A$12,0))</f>
        <v>80</v>
      </c>
      <c r="J273" s="32" t="n">
        <f aca="false">INDEX(Lists!$D$5:$D$12,MATCH(D273,Lists!$A$5:$A$12,0))</f>
        <v>38</v>
      </c>
      <c r="K273" s="32" t="n">
        <f aca="false">E273*I273*(1-F273)</f>
        <v>816</v>
      </c>
      <c r="L273" s="32" t="n">
        <f aca="false">E273*J273</f>
        <v>456</v>
      </c>
      <c r="M273" s="32" t="n">
        <f aca="false">K273-L273</f>
        <v>360</v>
      </c>
      <c r="N273" s="33" t="n">
        <f aca="false">DATE(YEAR(B273),MONTH(B273),1)</f>
        <v>46174</v>
      </c>
    </row>
    <row r="274" customFormat="false" ht="15" hidden="false" customHeight="false" outlineLevel="0" collapsed="false">
      <c r="A274" s="29" t="s">
        <v>348</v>
      </c>
      <c r="B274" s="30" t="n">
        <v>46191</v>
      </c>
      <c r="C274" s="29" t="s">
        <v>88</v>
      </c>
      <c r="D274" s="29" t="s">
        <v>67</v>
      </c>
      <c r="E274" s="29" t="n">
        <v>5</v>
      </c>
      <c r="F274" s="31" t="n">
        <v>0</v>
      </c>
      <c r="G274" s="14" t="str">
        <f aca="false">INDEX(Lists!$G$5:$G$12,MATCH(C274,Lists!$F$5:$F$12,0))</f>
        <v>North</v>
      </c>
      <c r="H274" s="14" t="str">
        <f aca="false">INDEX(Lists!$B$5:$B$12,MATCH(D274,Lists!$A$5:$A$12,0))</f>
        <v>Accessories</v>
      </c>
      <c r="I274" s="32" t="n">
        <f aca="false">INDEX(Lists!$C$5:$C$12,MATCH(D274,Lists!$A$5:$A$12,0))</f>
        <v>120</v>
      </c>
      <c r="J274" s="32" t="n">
        <f aca="false">INDEX(Lists!$D$5:$D$12,MATCH(D274,Lists!$A$5:$A$12,0))</f>
        <v>62</v>
      </c>
      <c r="K274" s="32" t="n">
        <f aca="false">E274*I274*(1-F274)</f>
        <v>600</v>
      </c>
      <c r="L274" s="32" t="n">
        <f aca="false">E274*J274</f>
        <v>310</v>
      </c>
      <c r="M274" s="32" t="n">
        <f aca="false">K274-L274</f>
        <v>290</v>
      </c>
      <c r="N274" s="33" t="n">
        <f aca="false">DATE(YEAR(B274),MONTH(B274),1)</f>
        <v>46174</v>
      </c>
    </row>
    <row r="275" customFormat="false" ht="15" hidden="false" customHeight="false" outlineLevel="0" collapsed="false">
      <c r="A275" s="29" t="s">
        <v>349</v>
      </c>
      <c r="B275" s="30" t="n">
        <v>46193</v>
      </c>
      <c r="C275" s="29" t="s">
        <v>83</v>
      </c>
      <c r="D275" s="29" t="s">
        <v>70</v>
      </c>
      <c r="E275" s="29" t="n">
        <v>6</v>
      </c>
      <c r="F275" s="31" t="n">
        <v>0</v>
      </c>
      <c r="G275" s="14" t="str">
        <f aca="false">INDEX(Lists!$G$5:$G$12,MATCH(C275,Lists!$F$5:$F$12,0))</f>
        <v>West</v>
      </c>
      <c r="H275" s="14" t="str">
        <f aca="false">INDEX(Lists!$B$5:$B$12,MATCH(D275,Lists!$A$5:$A$12,0))</f>
        <v>Displays</v>
      </c>
      <c r="I275" s="32" t="n">
        <f aca="false">INDEX(Lists!$C$5:$C$12,MATCH(D275,Lists!$A$5:$A$12,0))</f>
        <v>520</v>
      </c>
      <c r="J275" s="32" t="n">
        <f aca="false">INDEX(Lists!$D$5:$D$12,MATCH(D275,Lists!$A$5:$A$12,0))</f>
        <v>340</v>
      </c>
      <c r="K275" s="32" t="n">
        <f aca="false">E275*I275*(1-F275)</f>
        <v>3120</v>
      </c>
      <c r="L275" s="32" t="n">
        <f aca="false">E275*J275</f>
        <v>2040</v>
      </c>
      <c r="M275" s="32" t="n">
        <f aca="false">K275-L275</f>
        <v>1080</v>
      </c>
      <c r="N275" s="33" t="n">
        <f aca="false">DATE(YEAR(B275),MONTH(B275),1)</f>
        <v>46174</v>
      </c>
    </row>
    <row r="276" customFormat="false" ht="15" hidden="false" customHeight="false" outlineLevel="0" collapsed="false">
      <c r="A276" s="29" t="s">
        <v>350</v>
      </c>
      <c r="B276" s="30" t="n">
        <v>46193</v>
      </c>
      <c r="C276" s="29" t="s">
        <v>64</v>
      </c>
      <c r="D276" s="29" t="s">
        <v>67</v>
      </c>
      <c r="E276" s="29" t="n">
        <v>18</v>
      </c>
      <c r="F276" s="31" t="n">
        <v>0.05</v>
      </c>
      <c r="G276" s="14" t="str">
        <f aca="false">INDEX(Lists!$G$5:$G$12,MATCH(C276,Lists!$F$5:$F$12,0))</f>
        <v>East</v>
      </c>
      <c r="H276" s="14" t="str">
        <f aca="false">INDEX(Lists!$B$5:$B$12,MATCH(D276,Lists!$A$5:$A$12,0))</f>
        <v>Accessories</v>
      </c>
      <c r="I276" s="32" t="n">
        <f aca="false">INDEX(Lists!$C$5:$C$12,MATCH(D276,Lists!$A$5:$A$12,0))</f>
        <v>120</v>
      </c>
      <c r="J276" s="32" t="n">
        <f aca="false">INDEX(Lists!$D$5:$D$12,MATCH(D276,Lists!$A$5:$A$12,0))</f>
        <v>62</v>
      </c>
      <c r="K276" s="32" t="n">
        <f aca="false">E276*I276*(1-F276)</f>
        <v>2052</v>
      </c>
      <c r="L276" s="32" t="n">
        <f aca="false">E276*J276</f>
        <v>1116</v>
      </c>
      <c r="M276" s="32" t="n">
        <f aca="false">K276-L276</f>
        <v>936</v>
      </c>
      <c r="N276" s="33" t="n">
        <f aca="false">DATE(YEAR(B276),MONTH(B276),1)</f>
        <v>46174</v>
      </c>
    </row>
    <row r="277" customFormat="false" ht="15" hidden="false" customHeight="false" outlineLevel="0" collapsed="false">
      <c r="A277" s="29" t="s">
        <v>351</v>
      </c>
      <c r="B277" s="30" t="n">
        <v>46194</v>
      </c>
      <c r="C277" s="29" t="s">
        <v>88</v>
      </c>
      <c r="D277" s="29" t="s">
        <v>62</v>
      </c>
      <c r="E277" s="29" t="n">
        <v>3</v>
      </c>
      <c r="F277" s="31" t="n">
        <v>0</v>
      </c>
      <c r="G277" s="14" t="str">
        <f aca="false">INDEX(Lists!$G$5:$G$12,MATCH(C277,Lists!$F$5:$F$12,0))</f>
        <v>North</v>
      </c>
      <c r="H277" s="14" t="str">
        <f aca="false">INDEX(Lists!$B$5:$B$12,MATCH(D277,Lists!$A$5:$A$12,0))</f>
        <v>Computers</v>
      </c>
      <c r="I277" s="32" t="n">
        <f aca="false">INDEX(Lists!$C$5:$C$12,MATCH(D277,Lists!$A$5:$A$12,0))</f>
        <v>1600</v>
      </c>
      <c r="J277" s="32" t="n">
        <f aca="false">INDEX(Lists!$D$5:$D$12,MATCH(D277,Lists!$A$5:$A$12,0))</f>
        <v>1100</v>
      </c>
      <c r="K277" s="32" t="n">
        <f aca="false">E277*I277*(1-F277)</f>
        <v>4800</v>
      </c>
      <c r="L277" s="32" t="n">
        <f aca="false">E277*J277</f>
        <v>3300</v>
      </c>
      <c r="M277" s="32" t="n">
        <f aca="false">K277-L277</f>
        <v>1500</v>
      </c>
      <c r="N277" s="33" t="n">
        <f aca="false">DATE(YEAR(B277),MONTH(B277),1)</f>
        <v>46174</v>
      </c>
    </row>
    <row r="278" customFormat="false" ht="15" hidden="false" customHeight="false" outlineLevel="0" collapsed="false">
      <c r="A278" s="29" t="s">
        <v>352</v>
      </c>
      <c r="B278" s="30" t="n">
        <v>46194</v>
      </c>
      <c r="C278" s="29" t="s">
        <v>83</v>
      </c>
      <c r="D278" s="29" t="s">
        <v>67</v>
      </c>
      <c r="E278" s="29" t="n">
        <v>14</v>
      </c>
      <c r="F278" s="31" t="n">
        <v>0.05</v>
      </c>
      <c r="G278" s="14" t="str">
        <f aca="false">INDEX(Lists!$G$5:$G$12,MATCH(C278,Lists!$F$5:$F$12,0))</f>
        <v>West</v>
      </c>
      <c r="H278" s="14" t="str">
        <f aca="false">INDEX(Lists!$B$5:$B$12,MATCH(D278,Lists!$A$5:$A$12,0))</f>
        <v>Accessories</v>
      </c>
      <c r="I278" s="32" t="n">
        <f aca="false">INDEX(Lists!$C$5:$C$12,MATCH(D278,Lists!$A$5:$A$12,0))</f>
        <v>120</v>
      </c>
      <c r="J278" s="32" t="n">
        <f aca="false">INDEX(Lists!$D$5:$D$12,MATCH(D278,Lists!$A$5:$A$12,0))</f>
        <v>62</v>
      </c>
      <c r="K278" s="32" t="n">
        <f aca="false">E278*I278*(1-F278)</f>
        <v>1596</v>
      </c>
      <c r="L278" s="32" t="n">
        <f aca="false">E278*J278</f>
        <v>868</v>
      </c>
      <c r="M278" s="32" t="n">
        <f aca="false">K278-L278</f>
        <v>728</v>
      </c>
      <c r="N278" s="33" t="n">
        <f aca="false">DATE(YEAR(B278),MONTH(B278),1)</f>
        <v>46174</v>
      </c>
    </row>
    <row r="279" customFormat="false" ht="15" hidden="false" customHeight="false" outlineLevel="0" collapsed="false">
      <c r="A279" s="29" t="s">
        <v>353</v>
      </c>
      <c r="B279" s="30" t="n">
        <v>46195</v>
      </c>
      <c r="C279" s="29" t="s">
        <v>88</v>
      </c>
      <c r="D279" s="29" t="s">
        <v>72</v>
      </c>
      <c r="E279" s="29" t="n">
        <v>11</v>
      </c>
      <c r="F279" s="31" t="n">
        <v>0</v>
      </c>
      <c r="G279" s="14" t="str">
        <f aca="false">INDEX(Lists!$G$5:$G$12,MATCH(C279,Lists!$F$5:$F$12,0))</f>
        <v>North</v>
      </c>
      <c r="H279" s="14" t="str">
        <f aca="false">INDEX(Lists!$B$5:$B$12,MATCH(D279,Lists!$A$5:$A$12,0))</f>
        <v>Accessories</v>
      </c>
      <c r="I279" s="32" t="n">
        <f aca="false">INDEX(Lists!$C$5:$C$12,MATCH(D279,Lists!$A$5:$A$12,0))</f>
        <v>80</v>
      </c>
      <c r="J279" s="32" t="n">
        <f aca="false">INDEX(Lists!$D$5:$D$12,MATCH(D279,Lists!$A$5:$A$12,0))</f>
        <v>38</v>
      </c>
      <c r="K279" s="32" t="n">
        <f aca="false">E279*I279*(1-F279)</f>
        <v>880</v>
      </c>
      <c r="L279" s="32" t="n">
        <f aca="false">E279*J279</f>
        <v>418</v>
      </c>
      <c r="M279" s="32" t="n">
        <f aca="false">K279-L279</f>
        <v>462</v>
      </c>
      <c r="N279" s="33" t="n">
        <f aca="false">DATE(YEAR(B279),MONTH(B279),1)</f>
        <v>46174</v>
      </c>
    </row>
    <row r="280" customFormat="false" ht="15" hidden="false" customHeight="false" outlineLevel="0" collapsed="false">
      <c r="A280" s="29" t="s">
        <v>354</v>
      </c>
      <c r="B280" s="30" t="n">
        <v>46195</v>
      </c>
      <c r="C280" s="29" t="s">
        <v>83</v>
      </c>
      <c r="D280" s="29" t="s">
        <v>72</v>
      </c>
      <c r="E280" s="29" t="n">
        <v>17</v>
      </c>
      <c r="F280" s="31" t="n">
        <v>0.05</v>
      </c>
      <c r="G280" s="14" t="str">
        <f aca="false">INDEX(Lists!$G$5:$G$12,MATCH(C280,Lists!$F$5:$F$12,0))</f>
        <v>West</v>
      </c>
      <c r="H280" s="14" t="str">
        <f aca="false">INDEX(Lists!$B$5:$B$12,MATCH(D280,Lists!$A$5:$A$12,0))</f>
        <v>Accessories</v>
      </c>
      <c r="I280" s="32" t="n">
        <f aca="false">INDEX(Lists!$C$5:$C$12,MATCH(D280,Lists!$A$5:$A$12,0))</f>
        <v>80</v>
      </c>
      <c r="J280" s="32" t="n">
        <f aca="false">INDEX(Lists!$D$5:$D$12,MATCH(D280,Lists!$A$5:$A$12,0))</f>
        <v>38</v>
      </c>
      <c r="K280" s="32" t="n">
        <f aca="false">E280*I280*(1-F280)</f>
        <v>1292</v>
      </c>
      <c r="L280" s="32" t="n">
        <f aca="false">E280*J280</f>
        <v>646</v>
      </c>
      <c r="M280" s="32" t="n">
        <f aca="false">K280-L280</f>
        <v>646</v>
      </c>
      <c r="N280" s="33" t="n">
        <f aca="false">DATE(YEAR(B280),MONTH(B280),1)</f>
        <v>46174</v>
      </c>
    </row>
    <row r="281" customFormat="false" ht="15" hidden="false" customHeight="false" outlineLevel="0" collapsed="false">
      <c r="A281" s="29" t="s">
        <v>355</v>
      </c>
      <c r="B281" s="30" t="n">
        <v>46196</v>
      </c>
      <c r="C281" s="29" t="s">
        <v>74</v>
      </c>
      <c r="D281" s="29" t="s">
        <v>65</v>
      </c>
      <c r="E281" s="29" t="n">
        <v>3</v>
      </c>
      <c r="F281" s="31" t="n">
        <v>0.15</v>
      </c>
      <c r="G281" s="14" t="str">
        <f aca="false">INDEX(Lists!$G$5:$G$12,MATCH(C281,Lists!$F$5:$F$12,0))</f>
        <v>South</v>
      </c>
      <c r="H281" s="14" t="str">
        <f aca="false">INDEX(Lists!$B$5:$B$12,MATCH(D281,Lists!$A$5:$A$12,0))</f>
        <v>Accessories</v>
      </c>
      <c r="I281" s="32" t="n">
        <f aca="false">INDEX(Lists!$C$5:$C$12,MATCH(D281,Lists!$A$5:$A$12,0))</f>
        <v>260</v>
      </c>
      <c r="J281" s="32" t="n">
        <f aca="false">INDEX(Lists!$D$5:$D$12,MATCH(D281,Lists!$A$5:$A$12,0))</f>
        <v>150</v>
      </c>
      <c r="K281" s="32" t="n">
        <f aca="false">E281*I281*(1-F281)</f>
        <v>663</v>
      </c>
      <c r="L281" s="32" t="n">
        <f aca="false">E281*J281</f>
        <v>450</v>
      </c>
      <c r="M281" s="32" t="n">
        <f aca="false">K281-L281</f>
        <v>213</v>
      </c>
      <c r="N281" s="33" t="n">
        <f aca="false">DATE(YEAR(B281),MONTH(B281),1)</f>
        <v>46174</v>
      </c>
    </row>
    <row r="282" customFormat="false" ht="15" hidden="false" customHeight="false" outlineLevel="0" collapsed="false">
      <c r="A282" s="29" t="s">
        <v>356</v>
      </c>
      <c r="B282" s="30" t="n">
        <v>46197</v>
      </c>
      <c r="C282" s="29" t="s">
        <v>86</v>
      </c>
      <c r="D282" s="29" t="s">
        <v>67</v>
      </c>
      <c r="E282" s="29" t="n">
        <v>4</v>
      </c>
      <c r="F282" s="31" t="n">
        <v>0.15</v>
      </c>
      <c r="G282" s="14" t="str">
        <f aca="false">INDEX(Lists!$G$5:$G$12,MATCH(C282,Lists!$F$5:$F$12,0))</f>
        <v>North</v>
      </c>
      <c r="H282" s="14" t="str">
        <f aca="false">INDEX(Lists!$B$5:$B$12,MATCH(D282,Lists!$A$5:$A$12,0))</f>
        <v>Accessories</v>
      </c>
      <c r="I282" s="32" t="n">
        <f aca="false">INDEX(Lists!$C$5:$C$12,MATCH(D282,Lists!$A$5:$A$12,0))</f>
        <v>120</v>
      </c>
      <c r="J282" s="32" t="n">
        <f aca="false">INDEX(Lists!$D$5:$D$12,MATCH(D282,Lists!$A$5:$A$12,0))</f>
        <v>62</v>
      </c>
      <c r="K282" s="32" t="n">
        <f aca="false">E282*I282*(1-F282)</f>
        <v>408</v>
      </c>
      <c r="L282" s="32" t="n">
        <f aca="false">E282*J282</f>
        <v>248</v>
      </c>
      <c r="M282" s="32" t="n">
        <f aca="false">K282-L282</f>
        <v>160</v>
      </c>
      <c r="N282" s="33" t="n">
        <f aca="false">DATE(YEAR(B282),MONTH(B282),1)</f>
        <v>46174</v>
      </c>
    </row>
    <row r="283" customFormat="false" ht="15" hidden="false" customHeight="false" outlineLevel="0" collapsed="false">
      <c r="A283" s="29" t="s">
        <v>357</v>
      </c>
      <c r="B283" s="30" t="n">
        <v>46199</v>
      </c>
      <c r="C283" s="29" t="s">
        <v>69</v>
      </c>
      <c r="D283" s="29" t="s">
        <v>67</v>
      </c>
      <c r="E283" s="29" t="n">
        <v>6</v>
      </c>
      <c r="F283" s="31" t="n">
        <v>0</v>
      </c>
      <c r="G283" s="14" t="str">
        <f aca="false">INDEX(Lists!$G$5:$G$12,MATCH(C283,Lists!$F$5:$F$12,0))</f>
        <v>East</v>
      </c>
      <c r="H283" s="14" t="str">
        <f aca="false">INDEX(Lists!$B$5:$B$12,MATCH(D283,Lists!$A$5:$A$12,0))</f>
        <v>Accessories</v>
      </c>
      <c r="I283" s="32" t="n">
        <f aca="false">INDEX(Lists!$C$5:$C$12,MATCH(D283,Lists!$A$5:$A$12,0))</f>
        <v>120</v>
      </c>
      <c r="J283" s="32" t="n">
        <f aca="false">INDEX(Lists!$D$5:$D$12,MATCH(D283,Lists!$A$5:$A$12,0))</f>
        <v>62</v>
      </c>
      <c r="K283" s="32" t="n">
        <f aca="false">E283*I283*(1-F283)</f>
        <v>720</v>
      </c>
      <c r="L283" s="32" t="n">
        <f aca="false">E283*J283</f>
        <v>372</v>
      </c>
      <c r="M283" s="32" t="n">
        <f aca="false">K283-L283</f>
        <v>348</v>
      </c>
      <c r="N283" s="33" t="n">
        <f aca="false">DATE(YEAR(B283),MONTH(B283),1)</f>
        <v>46174</v>
      </c>
    </row>
    <row r="284" customFormat="false" ht="15" hidden="false" customHeight="false" outlineLevel="0" collapsed="false">
      <c r="A284" s="29" t="s">
        <v>358</v>
      </c>
      <c r="B284" s="30" t="n">
        <v>46199</v>
      </c>
      <c r="C284" s="29" t="s">
        <v>61</v>
      </c>
      <c r="D284" s="29" t="s">
        <v>65</v>
      </c>
      <c r="E284" s="29" t="n">
        <v>5</v>
      </c>
      <c r="F284" s="31" t="n">
        <v>0</v>
      </c>
      <c r="G284" s="14" t="str">
        <f aca="false">INDEX(Lists!$G$5:$G$12,MATCH(C284,Lists!$F$5:$F$12,0))</f>
        <v>South</v>
      </c>
      <c r="H284" s="14" t="str">
        <f aca="false">INDEX(Lists!$B$5:$B$12,MATCH(D284,Lists!$A$5:$A$12,0))</f>
        <v>Accessories</v>
      </c>
      <c r="I284" s="32" t="n">
        <f aca="false">INDEX(Lists!$C$5:$C$12,MATCH(D284,Lists!$A$5:$A$12,0))</f>
        <v>260</v>
      </c>
      <c r="J284" s="32" t="n">
        <f aca="false">INDEX(Lists!$D$5:$D$12,MATCH(D284,Lists!$A$5:$A$12,0))</f>
        <v>150</v>
      </c>
      <c r="K284" s="32" t="n">
        <f aca="false">E284*I284*(1-F284)</f>
        <v>1300</v>
      </c>
      <c r="L284" s="32" t="n">
        <f aca="false">E284*J284</f>
        <v>750</v>
      </c>
      <c r="M284" s="32" t="n">
        <f aca="false">K284-L284</f>
        <v>550</v>
      </c>
      <c r="N284" s="33" t="n">
        <f aca="false">DATE(YEAR(B284),MONTH(B284),1)</f>
        <v>46174</v>
      </c>
    </row>
    <row r="285" customFormat="false" ht="15" hidden="false" customHeight="false" outlineLevel="0" collapsed="false">
      <c r="A285" s="29" t="s">
        <v>359</v>
      </c>
      <c r="B285" s="30" t="n">
        <v>46200</v>
      </c>
      <c r="C285" s="29" t="s">
        <v>69</v>
      </c>
      <c r="D285" s="29" t="s">
        <v>91</v>
      </c>
      <c r="E285" s="29" t="n">
        <v>18</v>
      </c>
      <c r="F285" s="31" t="n">
        <v>0</v>
      </c>
      <c r="G285" s="14" t="str">
        <f aca="false">INDEX(Lists!$G$5:$G$12,MATCH(C285,Lists!$F$5:$F$12,0))</f>
        <v>East</v>
      </c>
      <c r="H285" s="14" t="str">
        <f aca="false">INDEX(Lists!$B$5:$B$12,MATCH(D285,Lists!$A$5:$A$12,0))</f>
        <v>Audio</v>
      </c>
      <c r="I285" s="32" t="n">
        <f aca="false">INDEX(Lists!$C$5:$C$12,MATCH(D285,Lists!$A$5:$A$12,0))</f>
        <v>190</v>
      </c>
      <c r="J285" s="32" t="n">
        <f aca="false">INDEX(Lists!$D$5:$D$12,MATCH(D285,Lists!$A$5:$A$12,0))</f>
        <v>105</v>
      </c>
      <c r="K285" s="32" t="n">
        <f aca="false">E285*I285*(1-F285)</f>
        <v>3420</v>
      </c>
      <c r="L285" s="32" t="n">
        <f aca="false">E285*J285</f>
        <v>1890</v>
      </c>
      <c r="M285" s="32" t="n">
        <f aca="false">K285-L285</f>
        <v>1530</v>
      </c>
      <c r="N285" s="33" t="n">
        <f aca="false">DATE(YEAR(B285),MONTH(B285),1)</f>
        <v>46174</v>
      </c>
    </row>
    <row r="286" customFormat="false" ht="15" hidden="false" customHeight="false" outlineLevel="0" collapsed="false">
      <c r="A286" s="29" t="s">
        <v>360</v>
      </c>
      <c r="B286" s="30" t="n">
        <v>46201</v>
      </c>
      <c r="C286" s="29" t="s">
        <v>69</v>
      </c>
      <c r="D286" s="29" t="s">
        <v>70</v>
      </c>
      <c r="E286" s="29" t="n">
        <v>2</v>
      </c>
      <c r="F286" s="31" t="n">
        <v>0.05</v>
      </c>
      <c r="G286" s="14" t="str">
        <f aca="false">INDEX(Lists!$G$5:$G$12,MATCH(C286,Lists!$F$5:$F$12,0))</f>
        <v>East</v>
      </c>
      <c r="H286" s="14" t="str">
        <f aca="false">INDEX(Lists!$B$5:$B$12,MATCH(D286,Lists!$A$5:$A$12,0))</f>
        <v>Displays</v>
      </c>
      <c r="I286" s="32" t="n">
        <f aca="false">INDEX(Lists!$C$5:$C$12,MATCH(D286,Lists!$A$5:$A$12,0))</f>
        <v>520</v>
      </c>
      <c r="J286" s="32" t="n">
        <f aca="false">INDEX(Lists!$D$5:$D$12,MATCH(D286,Lists!$A$5:$A$12,0))</f>
        <v>340</v>
      </c>
      <c r="K286" s="32" t="n">
        <f aca="false">E286*I286*(1-F286)</f>
        <v>988</v>
      </c>
      <c r="L286" s="32" t="n">
        <f aca="false">E286*J286</f>
        <v>680</v>
      </c>
      <c r="M286" s="32" t="n">
        <f aca="false">K286-L286</f>
        <v>308</v>
      </c>
      <c r="N286" s="33" t="n">
        <f aca="false">DATE(YEAR(B286),MONTH(B286),1)</f>
        <v>46174</v>
      </c>
    </row>
    <row r="287" customFormat="false" ht="15" hidden="false" customHeight="false" outlineLevel="0" collapsed="false">
      <c r="A287" s="29" t="s">
        <v>361</v>
      </c>
      <c r="B287" s="30" t="n">
        <v>46204</v>
      </c>
      <c r="C287" s="29" t="s">
        <v>74</v>
      </c>
      <c r="D287" s="29" t="s">
        <v>67</v>
      </c>
      <c r="E287" s="29" t="n">
        <v>19</v>
      </c>
      <c r="F287" s="31" t="n">
        <v>0.05</v>
      </c>
      <c r="G287" s="14" t="str">
        <f aca="false">INDEX(Lists!$G$5:$G$12,MATCH(C287,Lists!$F$5:$F$12,0))</f>
        <v>South</v>
      </c>
      <c r="H287" s="14" t="str">
        <f aca="false">INDEX(Lists!$B$5:$B$12,MATCH(D287,Lists!$A$5:$A$12,0))</f>
        <v>Accessories</v>
      </c>
      <c r="I287" s="32" t="n">
        <f aca="false">INDEX(Lists!$C$5:$C$12,MATCH(D287,Lists!$A$5:$A$12,0))</f>
        <v>120</v>
      </c>
      <c r="J287" s="32" t="n">
        <f aca="false">INDEX(Lists!$D$5:$D$12,MATCH(D287,Lists!$A$5:$A$12,0))</f>
        <v>62</v>
      </c>
      <c r="K287" s="32" t="n">
        <f aca="false">E287*I287*(1-F287)</f>
        <v>2166</v>
      </c>
      <c r="L287" s="32" t="n">
        <f aca="false">E287*J287</f>
        <v>1178</v>
      </c>
      <c r="M287" s="32" t="n">
        <f aca="false">K287-L287</f>
        <v>988</v>
      </c>
      <c r="N287" s="33" t="n">
        <f aca="false">DATE(YEAR(B287),MONTH(B287),1)</f>
        <v>46204</v>
      </c>
    </row>
    <row r="288" customFormat="false" ht="15" hidden="false" customHeight="false" outlineLevel="0" collapsed="false">
      <c r="A288" s="29" t="s">
        <v>362</v>
      </c>
      <c r="B288" s="30" t="n">
        <v>46205</v>
      </c>
      <c r="C288" s="29" t="s">
        <v>64</v>
      </c>
      <c r="D288" s="29" t="s">
        <v>62</v>
      </c>
      <c r="E288" s="29" t="n">
        <v>1</v>
      </c>
      <c r="F288" s="31" t="n">
        <v>0.15</v>
      </c>
      <c r="G288" s="14" t="str">
        <f aca="false">INDEX(Lists!$G$5:$G$12,MATCH(C288,Lists!$F$5:$F$12,0))</f>
        <v>East</v>
      </c>
      <c r="H288" s="14" t="str">
        <f aca="false">INDEX(Lists!$B$5:$B$12,MATCH(D288,Lists!$A$5:$A$12,0))</f>
        <v>Computers</v>
      </c>
      <c r="I288" s="32" t="n">
        <f aca="false">INDEX(Lists!$C$5:$C$12,MATCH(D288,Lists!$A$5:$A$12,0))</f>
        <v>1600</v>
      </c>
      <c r="J288" s="32" t="n">
        <f aca="false">INDEX(Lists!$D$5:$D$12,MATCH(D288,Lists!$A$5:$A$12,0))</f>
        <v>1100</v>
      </c>
      <c r="K288" s="32" t="n">
        <f aca="false">E288*I288*(1-F288)</f>
        <v>1360</v>
      </c>
      <c r="L288" s="32" t="n">
        <f aca="false">E288*J288</f>
        <v>1100</v>
      </c>
      <c r="M288" s="32" t="n">
        <f aca="false">K288-L288</f>
        <v>260</v>
      </c>
      <c r="N288" s="33" t="n">
        <f aca="false">DATE(YEAR(B288),MONTH(B288),1)</f>
        <v>46204</v>
      </c>
    </row>
    <row r="289" customFormat="false" ht="15" hidden="false" customHeight="false" outlineLevel="0" collapsed="false">
      <c r="A289" s="29" t="s">
        <v>363</v>
      </c>
      <c r="B289" s="30" t="n">
        <v>46205</v>
      </c>
      <c r="C289" s="29" t="s">
        <v>86</v>
      </c>
      <c r="D289" s="29" t="s">
        <v>91</v>
      </c>
      <c r="E289" s="29" t="n">
        <v>2</v>
      </c>
      <c r="F289" s="31" t="n">
        <v>0</v>
      </c>
      <c r="G289" s="14" t="str">
        <f aca="false">INDEX(Lists!$G$5:$G$12,MATCH(C289,Lists!$F$5:$F$12,0))</f>
        <v>North</v>
      </c>
      <c r="H289" s="14" t="str">
        <f aca="false">INDEX(Lists!$B$5:$B$12,MATCH(D289,Lists!$A$5:$A$12,0))</f>
        <v>Audio</v>
      </c>
      <c r="I289" s="32" t="n">
        <f aca="false">INDEX(Lists!$C$5:$C$12,MATCH(D289,Lists!$A$5:$A$12,0))</f>
        <v>190</v>
      </c>
      <c r="J289" s="32" t="n">
        <f aca="false">INDEX(Lists!$D$5:$D$12,MATCH(D289,Lists!$A$5:$A$12,0))</f>
        <v>105</v>
      </c>
      <c r="K289" s="32" t="n">
        <f aca="false">E289*I289*(1-F289)</f>
        <v>380</v>
      </c>
      <c r="L289" s="32" t="n">
        <f aca="false">E289*J289</f>
        <v>210</v>
      </c>
      <c r="M289" s="32" t="n">
        <f aca="false">K289-L289</f>
        <v>170</v>
      </c>
      <c r="N289" s="33" t="n">
        <f aca="false">DATE(YEAR(B289),MONTH(B289),1)</f>
        <v>46204</v>
      </c>
    </row>
    <row r="290" customFormat="false" ht="15" hidden="false" customHeight="false" outlineLevel="0" collapsed="false">
      <c r="A290" s="29" t="s">
        <v>364</v>
      </c>
      <c r="B290" s="30" t="n">
        <v>46207</v>
      </c>
      <c r="C290" s="29" t="s">
        <v>69</v>
      </c>
      <c r="D290" s="29" t="s">
        <v>75</v>
      </c>
      <c r="E290" s="29" t="n">
        <v>7</v>
      </c>
      <c r="F290" s="31" t="n">
        <v>0.1</v>
      </c>
      <c r="G290" s="14" t="str">
        <f aca="false">INDEX(Lists!$G$5:$G$12,MATCH(C290,Lists!$F$5:$F$12,0))</f>
        <v>East</v>
      </c>
      <c r="H290" s="14" t="str">
        <f aca="false">INDEX(Lists!$B$5:$B$12,MATCH(D290,Lists!$A$5:$A$12,0))</f>
        <v>Audio</v>
      </c>
      <c r="I290" s="32" t="n">
        <f aca="false">INDEX(Lists!$C$5:$C$12,MATCH(D290,Lists!$A$5:$A$12,0))</f>
        <v>140</v>
      </c>
      <c r="J290" s="32" t="n">
        <f aca="false">INDEX(Lists!$D$5:$D$12,MATCH(D290,Lists!$A$5:$A$12,0))</f>
        <v>70</v>
      </c>
      <c r="K290" s="32" t="n">
        <f aca="false">E290*I290*(1-F290)</f>
        <v>882</v>
      </c>
      <c r="L290" s="32" t="n">
        <f aca="false">E290*J290</f>
        <v>490</v>
      </c>
      <c r="M290" s="32" t="n">
        <f aca="false">K290-L290</f>
        <v>392</v>
      </c>
      <c r="N290" s="33" t="n">
        <f aca="false">DATE(YEAR(B290),MONTH(B290),1)</f>
        <v>46204</v>
      </c>
    </row>
    <row r="291" customFormat="false" ht="15" hidden="false" customHeight="false" outlineLevel="0" collapsed="false">
      <c r="A291" s="29" t="s">
        <v>365</v>
      </c>
      <c r="B291" s="30" t="n">
        <v>46208</v>
      </c>
      <c r="C291" s="29" t="s">
        <v>93</v>
      </c>
      <c r="D291" s="29" t="s">
        <v>72</v>
      </c>
      <c r="E291" s="29" t="n">
        <v>1</v>
      </c>
      <c r="F291" s="31" t="n">
        <v>0.05</v>
      </c>
      <c r="G291" s="14" t="str">
        <f aca="false">INDEX(Lists!$G$5:$G$12,MATCH(C291,Lists!$F$5:$F$12,0))</f>
        <v>West</v>
      </c>
      <c r="H291" s="14" t="str">
        <f aca="false">INDEX(Lists!$B$5:$B$12,MATCH(D291,Lists!$A$5:$A$12,0))</f>
        <v>Accessories</v>
      </c>
      <c r="I291" s="32" t="n">
        <f aca="false">INDEX(Lists!$C$5:$C$12,MATCH(D291,Lists!$A$5:$A$12,0))</f>
        <v>80</v>
      </c>
      <c r="J291" s="32" t="n">
        <f aca="false">INDEX(Lists!$D$5:$D$12,MATCH(D291,Lists!$A$5:$A$12,0))</f>
        <v>38</v>
      </c>
      <c r="K291" s="32" t="n">
        <f aca="false">E291*I291*(1-F291)</f>
        <v>76</v>
      </c>
      <c r="L291" s="32" t="n">
        <f aca="false">E291*J291</f>
        <v>38</v>
      </c>
      <c r="M291" s="32" t="n">
        <f aca="false">K291-L291</f>
        <v>38</v>
      </c>
      <c r="N291" s="33" t="n">
        <f aca="false">DATE(YEAR(B291),MONTH(B291),1)</f>
        <v>46204</v>
      </c>
    </row>
    <row r="292" customFormat="false" ht="15" hidden="false" customHeight="false" outlineLevel="0" collapsed="false">
      <c r="A292" s="29" t="s">
        <v>366</v>
      </c>
      <c r="B292" s="30" t="n">
        <v>46209</v>
      </c>
      <c r="C292" s="29" t="s">
        <v>69</v>
      </c>
      <c r="D292" s="29" t="s">
        <v>67</v>
      </c>
      <c r="E292" s="29" t="n">
        <v>10</v>
      </c>
      <c r="F292" s="31" t="n">
        <v>0.1</v>
      </c>
      <c r="G292" s="14" t="str">
        <f aca="false">INDEX(Lists!$G$5:$G$12,MATCH(C292,Lists!$F$5:$F$12,0))</f>
        <v>East</v>
      </c>
      <c r="H292" s="14" t="str">
        <f aca="false">INDEX(Lists!$B$5:$B$12,MATCH(D292,Lists!$A$5:$A$12,0))</f>
        <v>Accessories</v>
      </c>
      <c r="I292" s="32" t="n">
        <f aca="false">INDEX(Lists!$C$5:$C$12,MATCH(D292,Lists!$A$5:$A$12,0))</f>
        <v>120</v>
      </c>
      <c r="J292" s="32" t="n">
        <f aca="false">INDEX(Lists!$D$5:$D$12,MATCH(D292,Lists!$A$5:$A$12,0))</f>
        <v>62</v>
      </c>
      <c r="K292" s="32" t="n">
        <f aca="false">E292*I292*(1-F292)</f>
        <v>1080</v>
      </c>
      <c r="L292" s="32" t="n">
        <f aca="false">E292*J292</f>
        <v>620</v>
      </c>
      <c r="M292" s="32" t="n">
        <f aca="false">K292-L292</f>
        <v>460</v>
      </c>
      <c r="N292" s="33" t="n">
        <f aca="false">DATE(YEAR(B292),MONTH(B292),1)</f>
        <v>46204</v>
      </c>
    </row>
    <row r="293" customFormat="false" ht="15" hidden="false" customHeight="false" outlineLevel="0" collapsed="false">
      <c r="A293" s="29" t="s">
        <v>367</v>
      </c>
      <c r="B293" s="30" t="n">
        <v>46209</v>
      </c>
      <c r="C293" s="29" t="s">
        <v>93</v>
      </c>
      <c r="D293" s="29" t="s">
        <v>67</v>
      </c>
      <c r="E293" s="29" t="n">
        <v>15</v>
      </c>
      <c r="F293" s="31" t="n">
        <v>0</v>
      </c>
      <c r="G293" s="14" t="str">
        <f aca="false">INDEX(Lists!$G$5:$G$12,MATCH(C293,Lists!$F$5:$F$12,0))</f>
        <v>West</v>
      </c>
      <c r="H293" s="14" t="str">
        <f aca="false">INDEX(Lists!$B$5:$B$12,MATCH(D293,Lists!$A$5:$A$12,0))</f>
        <v>Accessories</v>
      </c>
      <c r="I293" s="32" t="n">
        <f aca="false">INDEX(Lists!$C$5:$C$12,MATCH(D293,Lists!$A$5:$A$12,0))</f>
        <v>120</v>
      </c>
      <c r="J293" s="32" t="n">
        <f aca="false">INDEX(Lists!$D$5:$D$12,MATCH(D293,Lists!$A$5:$A$12,0))</f>
        <v>62</v>
      </c>
      <c r="K293" s="32" t="n">
        <f aca="false">E293*I293*(1-F293)</f>
        <v>1800</v>
      </c>
      <c r="L293" s="32" t="n">
        <f aca="false">E293*J293</f>
        <v>930</v>
      </c>
      <c r="M293" s="32" t="n">
        <f aca="false">K293-L293</f>
        <v>870</v>
      </c>
      <c r="N293" s="33" t="n">
        <f aca="false">DATE(YEAR(B293),MONTH(B293),1)</f>
        <v>46204</v>
      </c>
    </row>
    <row r="294" customFormat="false" ht="15" hidden="false" customHeight="false" outlineLevel="0" collapsed="false">
      <c r="A294" s="29" t="s">
        <v>368</v>
      </c>
      <c r="B294" s="30" t="n">
        <v>46209</v>
      </c>
      <c r="C294" s="29" t="s">
        <v>86</v>
      </c>
      <c r="D294" s="29" t="s">
        <v>80</v>
      </c>
      <c r="E294" s="29" t="n">
        <v>4</v>
      </c>
      <c r="F294" s="31" t="n">
        <v>0</v>
      </c>
      <c r="G294" s="14" t="str">
        <f aca="false">INDEX(Lists!$G$5:$G$12,MATCH(C294,Lists!$F$5:$F$12,0))</f>
        <v>North</v>
      </c>
      <c r="H294" s="14" t="str">
        <f aca="false">INDEX(Lists!$B$5:$B$12,MATCH(D294,Lists!$A$5:$A$12,0))</f>
        <v>Computers</v>
      </c>
      <c r="I294" s="32" t="n">
        <f aca="false">INDEX(Lists!$C$5:$C$12,MATCH(D294,Lists!$A$5:$A$12,0))</f>
        <v>2400</v>
      </c>
      <c r="J294" s="32" t="n">
        <f aca="false">INDEX(Lists!$D$5:$D$12,MATCH(D294,Lists!$A$5:$A$12,0))</f>
        <v>1650</v>
      </c>
      <c r="K294" s="32" t="n">
        <f aca="false">E294*I294*(1-F294)</f>
        <v>9600</v>
      </c>
      <c r="L294" s="32" t="n">
        <f aca="false">E294*J294</f>
        <v>6600</v>
      </c>
      <c r="M294" s="32" t="n">
        <f aca="false">K294-L294</f>
        <v>3000</v>
      </c>
      <c r="N294" s="33" t="n">
        <f aca="false">DATE(YEAR(B294),MONTH(B294),1)</f>
        <v>46204</v>
      </c>
    </row>
    <row r="295" customFormat="false" ht="15" hidden="false" customHeight="false" outlineLevel="0" collapsed="false">
      <c r="A295" s="29" t="s">
        <v>369</v>
      </c>
      <c r="B295" s="30" t="n">
        <v>46209</v>
      </c>
      <c r="C295" s="29" t="s">
        <v>83</v>
      </c>
      <c r="D295" s="29" t="s">
        <v>67</v>
      </c>
      <c r="E295" s="29" t="n">
        <v>11</v>
      </c>
      <c r="F295" s="31" t="n">
        <v>0</v>
      </c>
      <c r="G295" s="14" t="str">
        <f aca="false">INDEX(Lists!$G$5:$G$12,MATCH(C295,Lists!$F$5:$F$12,0))</f>
        <v>West</v>
      </c>
      <c r="H295" s="14" t="str">
        <f aca="false">INDEX(Lists!$B$5:$B$12,MATCH(D295,Lists!$A$5:$A$12,0))</f>
        <v>Accessories</v>
      </c>
      <c r="I295" s="32" t="n">
        <f aca="false">INDEX(Lists!$C$5:$C$12,MATCH(D295,Lists!$A$5:$A$12,0))</f>
        <v>120</v>
      </c>
      <c r="J295" s="32" t="n">
        <f aca="false">INDEX(Lists!$D$5:$D$12,MATCH(D295,Lists!$A$5:$A$12,0))</f>
        <v>62</v>
      </c>
      <c r="K295" s="32" t="n">
        <f aca="false">E295*I295*(1-F295)</f>
        <v>1320</v>
      </c>
      <c r="L295" s="32" t="n">
        <f aca="false">E295*J295</f>
        <v>682</v>
      </c>
      <c r="M295" s="32" t="n">
        <f aca="false">K295-L295</f>
        <v>638</v>
      </c>
      <c r="N295" s="33" t="n">
        <f aca="false">DATE(YEAR(B295),MONTH(B295),1)</f>
        <v>46204</v>
      </c>
    </row>
    <row r="296" customFormat="false" ht="15" hidden="false" customHeight="false" outlineLevel="0" collapsed="false">
      <c r="A296" s="29" t="s">
        <v>370</v>
      </c>
      <c r="B296" s="30" t="n">
        <v>46209</v>
      </c>
      <c r="C296" s="29" t="s">
        <v>64</v>
      </c>
      <c r="D296" s="29" t="s">
        <v>72</v>
      </c>
      <c r="E296" s="29" t="n">
        <v>11</v>
      </c>
      <c r="F296" s="31" t="n">
        <v>0.15</v>
      </c>
      <c r="G296" s="14" t="str">
        <f aca="false">INDEX(Lists!$G$5:$G$12,MATCH(C296,Lists!$F$5:$F$12,0))</f>
        <v>East</v>
      </c>
      <c r="H296" s="14" t="str">
        <f aca="false">INDEX(Lists!$B$5:$B$12,MATCH(D296,Lists!$A$5:$A$12,0))</f>
        <v>Accessories</v>
      </c>
      <c r="I296" s="32" t="n">
        <f aca="false">INDEX(Lists!$C$5:$C$12,MATCH(D296,Lists!$A$5:$A$12,0))</f>
        <v>80</v>
      </c>
      <c r="J296" s="32" t="n">
        <f aca="false">INDEX(Lists!$D$5:$D$12,MATCH(D296,Lists!$A$5:$A$12,0))</f>
        <v>38</v>
      </c>
      <c r="K296" s="32" t="n">
        <f aca="false">E296*I296*(1-F296)</f>
        <v>748</v>
      </c>
      <c r="L296" s="32" t="n">
        <f aca="false">E296*J296</f>
        <v>418</v>
      </c>
      <c r="M296" s="32" t="n">
        <f aca="false">K296-L296</f>
        <v>330</v>
      </c>
      <c r="N296" s="33" t="n">
        <f aca="false">DATE(YEAR(B296),MONTH(B296),1)</f>
        <v>46204</v>
      </c>
    </row>
    <row r="297" customFormat="false" ht="15" hidden="false" customHeight="false" outlineLevel="0" collapsed="false">
      <c r="A297" s="29" t="s">
        <v>371</v>
      </c>
      <c r="B297" s="30" t="n">
        <v>46211</v>
      </c>
      <c r="C297" s="29" t="s">
        <v>64</v>
      </c>
      <c r="D297" s="29" t="s">
        <v>72</v>
      </c>
      <c r="E297" s="29" t="n">
        <v>5</v>
      </c>
      <c r="F297" s="31" t="n">
        <v>0.05</v>
      </c>
      <c r="G297" s="14" t="str">
        <f aca="false">INDEX(Lists!$G$5:$G$12,MATCH(C297,Lists!$F$5:$F$12,0))</f>
        <v>East</v>
      </c>
      <c r="H297" s="14" t="str">
        <f aca="false">INDEX(Lists!$B$5:$B$12,MATCH(D297,Lists!$A$5:$A$12,0))</f>
        <v>Accessories</v>
      </c>
      <c r="I297" s="32" t="n">
        <f aca="false">INDEX(Lists!$C$5:$C$12,MATCH(D297,Lists!$A$5:$A$12,0))</f>
        <v>80</v>
      </c>
      <c r="J297" s="32" t="n">
        <f aca="false">INDEX(Lists!$D$5:$D$12,MATCH(D297,Lists!$A$5:$A$12,0))</f>
        <v>38</v>
      </c>
      <c r="K297" s="32" t="n">
        <f aca="false">E297*I297*(1-F297)</f>
        <v>380</v>
      </c>
      <c r="L297" s="32" t="n">
        <f aca="false">E297*J297</f>
        <v>190</v>
      </c>
      <c r="M297" s="32" t="n">
        <f aca="false">K297-L297</f>
        <v>190</v>
      </c>
      <c r="N297" s="33" t="n">
        <f aca="false">DATE(YEAR(B297),MONTH(B297),1)</f>
        <v>46204</v>
      </c>
    </row>
    <row r="298" customFormat="false" ht="15" hidden="false" customHeight="false" outlineLevel="0" collapsed="false">
      <c r="A298" s="29" t="s">
        <v>372</v>
      </c>
      <c r="B298" s="30" t="n">
        <v>46211</v>
      </c>
      <c r="C298" s="29" t="s">
        <v>88</v>
      </c>
      <c r="D298" s="29" t="s">
        <v>72</v>
      </c>
      <c r="E298" s="29" t="n">
        <v>8</v>
      </c>
      <c r="F298" s="31" t="n">
        <v>0</v>
      </c>
      <c r="G298" s="14" t="str">
        <f aca="false">INDEX(Lists!$G$5:$G$12,MATCH(C298,Lists!$F$5:$F$12,0))</f>
        <v>North</v>
      </c>
      <c r="H298" s="14" t="str">
        <f aca="false">INDEX(Lists!$B$5:$B$12,MATCH(D298,Lists!$A$5:$A$12,0))</f>
        <v>Accessories</v>
      </c>
      <c r="I298" s="32" t="n">
        <f aca="false">INDEX(Lists!$C$5:$C$12,MATCH(D298,Lists!$A$5:$A$12,0))</f>
        <v>80</v>
      </c>
      <c r="J298" s="32" t="n">
        <f aca="false">INDEX(Lists!$D$5:$D$12,MATCH(D298,Lists!$A$5:$A$12,0))</f>
        <v>38</v>
      </c>
      <c r="K298" s="32" t="n">
        <f aca="false">E298*I298*(1-F298)</f>
        <v>640</v>
      </c>
      <c r="L298" s="32" t="n">
        <f aca="false">E298*J298</f>
        <v>304</v>
      </c>
      <c r="M298" s="32" t="n">
        <f aca="false">K298-L298</f>
        <v>336</v>
      </c>
      <c r="N298" s="33" t="n">
        <f aca="false">DATE(YEAR(B298),MONTH(B298),1)</f>
        <v>46204</v>
      </c>
    </row>
    <row r="299" customFormat="false" ht="15" hidden="false" customHeight="false" outlineLevel="0" collapsed="false">
      <c r="A299" s="29" t="s">
        <v>373</v>
      </c>
      <c r="B299" s="30" t="n">
        <v>46211</v>
      </c>
      <c r="C299" s="29" t="s">
        <v>69</v>
      </c>
      <c r="D299" s="29" t="s">
        <v>67</v>
      </c>
      <c r="E299" s="29" t="n">
        <v>8</v>
      </c>
      <c r="F299" s="31" t="n">
        <v>0.05</v>
      </c>
      <c r="G299" s="14" t="str">
        <f aca="false">INDEX(Lists!$G$5:$G$12,MATCH(C299,Lists!$F$5:$F$12,0))</f>
        <v>East</v>
      </c>
      <c r="H299" s="14" t="str">
        <f aca="false">INDEX(Lists!$B$5:$B$12,MATCH(D299,Lists!$A$5:$A$12,0))</f>
        <v>Accessories</v>
      </c>
      <c r="I299" s="32" t="n">
        <f aca="false">INDEX(Lists!$C$5:$C$12,MATCH(D299,Lists!$A$5:$A$12,0))</f>
        <v>120</v>
      </c>
      <c r="J299" s="32" t="n">
        <f aca="false">INDEX(Lists!$D$5:$D$12,MATCH(D299,Lists!$A$5:$A$12,0))</f>
        <v>62</v>
      </c>
      <c r="K299" s="32" t="n">
        <f aca="false">E299*I299*(1-F299)</f>
        <v>912</v>
      </c>
      <c r="L299" s="32" t="n">
        <f aca="false">E299*J299</f>
        <v>496</v>
      </c>
      <c r="M299" s="32" t="n">
        <f aca="false">K299-L299</f>
        <v>416</v>
      </c>
      <c r="N299" s="33" t="n">
        <f aca="false">DATE(YEAR(B299),MONTH(B299),1)</f>
        <v>46204</v>
      </c>
    </row>
    <row r="300" customFormat="false" ht="15" hidden="false" customHeight="false" outlineLevel="0" collapsed="false">
      <c r="A300" s="29" t="s">
        <v>374</v>
      </c>
      <c r="B300" s="30" t="n">
        <v>46211</v>
      </c>
      <c r="C300" s="29" t="s">
        <v>86</v>
      </c>
      <c r="D300" s="29" t="s">
        <v>62</v>
      </c>
      <c r="E300" s="29" t="n">
        <v>4</v>
      </c>
      <c r="F300" s="31" t="n">
        <v>0</v>
      </c>
      <c r="G300" s="14" t="str">
        <f aca="false">INDEX(Lists!$G$5:$G$12,MATCH(C300,Lists!$F$5:$F$12,0))</f>
        <v>North</v>
      </c>
      <c r="H300" s="14" t="str">
        <f aca="false">INDEX(Lists!$B$5:$B$12,MATCH(D300,Lists!$A$5:$A$12,0))</f>
        <v>Computers</v>
      </c>
      <c r="I300" s="32" t="n">
        <f aca="false">INDEX(Lists!$C$5:$C$12,MATCH(D300,Lists!$A$5:$A$12,0))</f>
        <v>1600</v>
      </c>
      <c r="J300" s="32" t="n">
        <f aca="false">INDEX(Lists!$D$5:$D$12,MATCH(D300,Lists!$A$5:$A$12,0))</f>
        <v>1100</v>
      </c>
      <c r="K300" s="32" t="n">
        <f aca="false">E300*I300*(1-F300)</f>
        <v>6400</v>
      </c>
      <c r="L300" s="32" t="n">
        <f aca="false">E300*J300</f>
        <v>4400</v>
      </c>
      <c r="M300" s="32" t="n">
        <f aca="false">K300-L300</f>
        <v>2000</v>
      </c>
      <c r="N300" s="33" t="n">
        <f aca="false">DATE(YEAR(B300),MONTH(B300),1)</f>
        <v>46204</v>
      </c>
    </row>
    <row r="301" customFormat="false" ht="15" hidden="false" customHeight="false" outlineLevel="0" collapsed="false">
      <c r="A301" s="29" t="s">
        <v>375</v>
      </c>
      <c r="B301" s="30" t="n">
        <v>46212</v>
      </c>
      <c r="C301" s="29" t="s">
        <v>93</v>
      </c>
      <c r="D301" s="29" t="s">
        <v>91</v>
      </c>
      <c r="E301" s="29" t="n">
        <v>6</v>
      </c>
      <c r="F301" s="31" t="n">
        <v>0</v>
      </c>
      <c r="G301" s="14" t="str">
        <f aca="false">INDEX(Lists!$G$5:$G$12,MATCH(C301,Lists!$F$5:$F$12,0))</f>
        <v>West</v>
      </c>
      <c r="H301" s="14" t="str">
        <f aca="false">INDEX(Lists!$B$5:$B$12,MATCH(D301,Lists!$A$5:$A$12,0))</f>
        <v>Audio</v>
      </c>
      <c r="I301" s="32" t="n">
        <f aca="false">INDEX(Lists!$C$5:$C$12,MATCH(D301,Lists!$A$5:$A$12,0))</f>
        <v>190</v>
      </c>
      <c r="J301" s="32" t="n">
        <f aca="false">INDEX(Lists!$D$5:$D$12,MATCH(D301,Lists!$A$5:$A$12,0))</f>
        <v>105</v>
      </c>
      <c r="K301" s="32" t="n">
        <f aca="false">E301*I301*(1-F301)</f>
        <v>1140</v>
      </c>
      <c r="L301" s="32" t="n">
        <f aca="false">E301*J301</f>
        <v>630</v>
      </c>
      <c r="M301" s="32" t="n">
        <f aca="false">K301-L301</f>
        <v>510</v>
      </c>
      <c r="N301" s="33" t="n">
        <f aca="false">DATE(YEAR(B301),MONTH(B301),1)</f>
        <v>46204</v>
      </c>
    </row>
    <row r="302" customFormat="false" ht="15" hidden="false" customHeight="false" outlineLevel="0" collapsed="false">
      <c r="A302" s="29" t="s">
        <v>376</v>
      </c>
      <c r="B302" s="30" t="n">
        <v>46213</v>
      </c>
      <c r="C302" s="29" t="s">
        <v>64</v>
      </c>
      <c r="D302" s="29" t="s">
        <v>91</v>
      </c>
      <c r="E302" s="29" t="n">
        <v>6</v>
      </c>
      <c r="F302" s="31" t="n">
        <v>0</v>
      </c>
      <c r="G302" s="14" t="str">
        <f aca="false">INDEX(Lists!$G$5:$G$12,MATCH(C302,Lists!$F$5:$F$12,0))</f>
        <v>East</v>
      </c>
      <c r="H302" s="14" t="str">
        <f aca="false">INDEX(Lists!$B$5:$B$12,MATCH(D302,Lists!$A$5:$A$12,0))</f>
        <v>Audio</v>
      </c>
      <c r="I302" s="32" t="n">
        <f aca="false">INDEX(Lists!$C$5:$C$12,MATCH(D302,Lists!$A$5:$A$12,0))</f>
        <v>190</v>
      </c>
      <c r="J302" s="32" t="n">
        <f aca="false">INDEX(Lists!$D$5:$D$12,MATCH(D302,Lists!$A$5:$A$12,0))</f>
        <v>105</v>
      </c>
      <c r="K302" s="32" t="n">
        <f aca="false">E302*I302*(1-F302)</f>
        <v>1140</v>
      </c>
      <c r="L302" s="32" t="n">
        <f aca="false">E302*J302</f>
        <v>630</v>
      </c>
      <c r="M302" s="32" t="n">
        <f aca="false">K302-L302</f>
        <v>510</v>
      </c>
      <c r="N302" s="33" t="n">
        <f aca="false">DATE(YEAR(B302),MONTH(B302),1)</f>
        <v>46204</v>
      </c>
    </row>
    <row r="303" customFormat="false" ht="15" hidden="false" customHeight="false" outlineLevel="0" collapsed="false">
      <c r="A303" s="29" t="s">
        <v>377</v>
      </c>
      <c r="B303" s="30" t="n">
        <v>46214</v>
      </c>
      <c r="C303" s="29" t="s">
        <v>83</v>
      </c>
      <c r="D303" s="29" t="s">
        <v>67</v>
      </c>
      <c r="E303" s="29" t="n">
        <v>10</v>
      </c>
      <c r="F303" s="31" t="n">
        <v>0.05</v>
      </c>
      <c r="G303" s="14" t="str">
        <f aca="false">INDEX(Lists!$G$5:$G$12,MATCH(C303,Lists!$F$5:$F$12,0))</f>
        <v>West</v>
      </c>
      <c r="H303" s="14" t="str">
        <f aca="false">INDEX(Lists!$B$5:$B$12,MATCH(D303,Lists!$A$5:$A$12,0))</f>
        <v>Accessories</v>
      </c>
      <c r="I303" s="32" t="n">
        <f aca="false">INDEX(Lists!$C$5:$C$12,MATCH(D303,Lists!$A$5:$A$12,0))</f>
        <v>120</v>
      </c>
      <c r="J303" s="32" t="n">
        <f aca="false">INDEX(Lists!$D$5:$D$12,MATCH(D303,Lists!$A$5:$A$12,0))</f>
        <v>62</v>
      </c>
      <c r="K303" s="32" t="n">
        <f aca="false">E303*I303*(1-F303)</f>
        <v>1140</v>
      </c>
      <c r="L303" s="32" t="n">
        <f aca="false">E303*J303</f>
        <v>620</v>
      </c>
      <c r="M303" s="32" t="n">
        <f aca="false">K303-L303</f>
        <v>520</v>
      </c>
      <c r="N303" s="33" t="n">
        <f aca="false">DATE(YEAR(B303),MONTH(B303),1)</f>
        <v>46204</v>
      </c>
    </row>
    <row r="304" customFormat="false" ht="15" hidden="false" customHeight="false" outlineLevel="0" collapsed="false">
      <c r="A304" s="29" t="s">
        <v>378</v>
      </c>
      <c r="B304" s="30" t="n">
        <v>46215</v>
      </c>
      <c r="C304" s="29" t="s">
        <v>88</v>
      </c>
      <c r="D304" s="29" t="s">
        <v>67</v>
      </c>
      <c r="E304" s="29" t="n">
        <v>17</v>
      </c>
      <c r="F304" s="31" t="n">
        <v>0.05</v>
      </c>
      <c r="G304" s="14" t="str">
        <f aca="false">INDEX(Lists!$G$5:$G$12,MATCH(C304,Lists!$F$5:$F$12,0))</f>
        <v>North</v>
      </c>
      <c r="H304" s="14" t="str">
        <f aca="false">INDEX(Lists!$B$5:$B$12,MATCH(D304,Lists!$A$5:$A$12,0))</f>
        <v>Accessories</v>
      </c>
      <c r="I304" s="32" t="n">
        <f aca="false">INDEX(Lists!$C$5:$C$12,MATCH(D304,Lists!$A$5:$A$12,0))</f>
        <v>120</v>
      </c>
      <c r="J304" s="32" t="n">
        <f aca="false">INDEX(Lists!$D$5:$D$12,MATCH(D304,Lists!$A$5:$A$12,0))</f>
        <v>62</v>
      </c>
      <c r="K304" s="32" t="n">
        <f aca="false">E304*I304*(1-F304)</f>
        <v>1938</v>
      </c>
      <c r="L304" s="32" t="n">
        <f aca="false">E304*J304</f>
        <v>1054</v>
      </c>
      <c r="M304" s="32" t="n">
        <f aca="false">K304-L304</f>
        <v>884</v>
      </c>
      <c r="N304" s="33" t="n">
        <f aca="false">DATE(YEAR(B304),MONTH(B304),1)</f>
        <v>46204</v>
      </c>
    </row>
    <row r="305" customFormat="false" ht="15" hidden="false" customHeight="false" outlineLevel="0" collapsed="false">
      <c r="A305" s="29" t="s">
        <v>379</v>
      </c>
      <c r="B305" s="30" t="n">
        <v>46216</v>
      </c>
      <c r="C305" s="29" t="s">
        <v>61</v>
      </c>
      <c r="D305" s="29" t="s">
        <v>67</v>
      </c>
      <c r="E305" s="29" t="n">
        <v>19</v>
      </c>
      <c r="F305" s="31" t="n">
        <v>0</v>
      </c>
      <c r="G305" s="14" t="str">
        <f aca="false">INDEX(Lists!$G$5:$G$12,MATCH(C305,Lists!$F$5:$F$12,0))</f>
        <v>South</v>
      </c>
      <c r="H305" s="14" t="str">
        <f aca="false">INDEX(Lists!$B$5:$B$12,MATCH(D305,Lists!$A$5:$A$12,0))</f>
        <v>Accessories</v>
      </c>
      <c r="I305" s="32" t="n">
        <f aca="false">INDEX(Lists!$C$5:$C$12,MATCH(D305,Lists!$A$5:$A$12,0))</f>
        <v>120</v>
      </c>
      <c r="J305" s="32" t="n">
        <f aca="false">INDEX(Lists!$D$5:$D$12,MATCH(D305,Lists!$A$5:$A$12,0))</f>
        <v>62</v>
      </c>
      <c r="K305" s="32" t="n">
        <f aca="false">E305*I305*(1-F305)</f>
        <v>2280</v>
      </c>
      <c r="L305" s="32" t="n">
        <f aca="false">E305*J305</f>
        <v>1178</v>
      </c>
      <c r="M305" s="32" t="n">
        <f aca="false">K305-L305</f>
        <v>1102</v>
      </c>
      <c r="N305" s="33" t="n">
        <f aca="false">DATE(YEAR(B305),MONTH(B305),1)</f>
        <v>46204</v>
      </c>
    </row>
    <row r="306" customFormat="false" ht="15" hidden="false" customHeight="false" outlineLevel="0" collapsed="false">
      <c r="A306" s="29" t="s">
        <v>380</v>
      </c>
      <c r="B306" s="30" t="n">
        <v>46217</v>
      </c>
      <c r="C306" s="29" t="s">
        <v>86</v>
      </c>
      <c r="D306" s="29" t="s">
        <v>65</v>
      </c>
      <c r="E306" s="29" t="n">
        <v>8</v>
      </c>
      <c r="F306" s="31" t="n">
        <v>0</v>
      </c>
      <c r="G306" s="14" t="str">
        <f aca="false">INDEX(Lists!$G$5:$G$12,MATCH(C306,Lists!$F$5:$F$12,0))</f>
        <v>North</v>
      </c>
      <c r="H306" s="14" t="str">
        <f aca="false">INDEX(Lists!$B$5:$B$12,MATCH(D306,Lists!$A$5:$A$12,0))</f>
        <v>Accessories</v>
      </c>
      <c r="I306" s="32" t="n">
        <f aca="false">INDEX(Lists!$C$5:$C$12,MATCH(D306,Lists!$A$5:$A$12,0))</f>
        <v>260</v>
      </c>
      <c r="J306" s="32" t="n">
        <f aca="false">INDEX(Lists!$D$5:$D$12,MATCH(D306,Lists!$A$5:$A$12,0))</f>
        <v>150</v>
      </c>
      <c r="K306" s="32" t="n">
        <f aca="false">E306*I306*(1-F306)</f>
        <v>2080</v>
      </c>
      <c r="L306" s="32" t="n">
        <f aca="false">E306*J306</f>
        <v>1200</v>
      </c>
      <c r="M306" s="32" t="n">
        <f aca="false">K306-L306</f>
        <v>880</v>
      </c>
      <c r="N306" s="33" t="n">
        <f aca="false">DATE(YEAR(B306),MONTH(B306),1)</f>
        <v>46204</v>
      </c>
    </row>
    <row r="307" customFormat="false" ht="15" hidden="false" customHeight="false" outlineLevel="0" collapsed="false">
      <c r="A307" s="29" t="s">
        <v>381</v>
      </c>
      <c r="B307" s="30" t="n">
        <v>46217</v>
      </c>
      <c r="C307" s="29" t="s">
        <v>83</v>
      </c>
      <c r="D307" s="29" t="s">
        <v>72</v>
      </c>
      <c r="E307" s="29" t="n">
        <v>18</v>
      </c>
      <c r="F307" s="31" t="n">
        <v>0</v>
      </c>
      <c r="G307" s="14" t="str">
        <f aca="false">INDEX(Lists!$G$5:$G$12,MATCH(C307,Lists!$F$5:$F$12,0))</f>
        <v>West</v>
      </c>
      <c r="H307" s="14" t="str">
        <f aca="false">INDEX(Lists!$B$5:$B$12,MATCH(D307,Lists!$A$5:$A$12,0))</f>
        <v>Accessories</v>
      </c>
      <c r="I307" s="32" t="n">
        <f aca="false">INDEX(Lists!$C$5:$C$12,MATCH(D307,Lists!$A$5:$A$12,0))</f>
        <v>80</v>
      </c>
      <c r="J307" s="32" t="n">
        <f aca="false">INDEX(Lists!$D$5:$D$12,MATCH(D307,Lists!$A$5:$A$12,0))</f>
        <v>38</v>
      </c>
      <c r="K307" s="32" t="n">
        <f aca="false">E307*I307*(1-F307)</f>
        <v>1440</v>
      </c>
      <c r="L307" s="32" t="n">
        <f aca="false">E307*J307</f>
        <v>684</v>
      </c>
      <c r="M307" s="32" t="n">
        <f aca="false">K307-L307</f>
        <v>756</v>
      </c>
      <c r="N307" s="33" t="n">
        <f aca="false">DATE(YEAR(B307),MONTH(B307),1)</f>
        <v>46204</v>
      </c>
    </row>
    <row r="308" customFormat="false" ht="15" hidden="false" customHeight="false" outlineLevel="0" collapsed="false">
      <c r="A308" s="29" t="s">
        <v>382</v>
      </c>
      <c r="B308" s="30" t="n">
        <v>46218</v>
      </c>
      <c r="C308" s="29" t="s">
        <v>88</v>
      </c>
      <c r="D308" s="29" t="s">
        <v>80</v>
      </c>
      <c r="E308" s="29" t="n">
        <v>2</v>
      </c>
      <c r="F308" s="31" t="n">
        <v>0.05</v>
      </c>
      <c r="G308" s="14" t="str">
        <f aca="false">INDEX(Lists!$G$5:$G$12,MATCH(C308,Lists!$F$5:$F$12,0))</f>
        <v>North</v>
      </c>
      <c r="H308" s="14" t="str">
        <f aca="false">INDEX(Lists!$B$5:$B$12,MATCH(D308,Lists!$A$5:$A$12,0))</f>
        <v>Computers</v>
      </c>
      <c r="I308" s="32" t="n">
        <f aca="false">INDEX(Lists!$C$5:$C$12,MATCH(D308,Lists!$A$5:$A$12,0))</f>
        <v>2400</v>
      </c>
      <c r="J308" s="32" t="n">
        <f aca="false">INDEX(Lists!$D$5:$D$12,MATCH(D308,Lists!$A$5:$A$12,0))</f>
        <v>1650</v>
      </c>
      <c r="K308" s="32" t="n">
        <f aca="false">E308*I308*(1-F308)</f>
        <v>4560</v>
      </c>
      <c r="L308" s="32" t="n">
        <f aca="false">E308*J308</f>
        <v>3300</v>
      </c>
      <c r="M308" s="32" t="n">
        <f aca="false">K308-L308</f>
        <v>1260</v>
      </c>
      <c r="N308" s="33" t="n">
        <f aca="false">DATE(YEAR(B308),MONTH(B308),1)</f>
        <v>46204</v>
      </c>
    </row>
    <row r="309" customFormat="false" ht="15" hidden="false" customHeight="false" outlineLevel="0" collapsed="false">
      <c r="A309" s="29" t="s">
        <v>383</v>
      </c>
      <c r="B309" s="30" t="n">
        <v>46219</v>
      </c>
      <c r="C309" s="29" t="s">
        <v>64</v>
      </c>
      <c r="D309" s="29" t="s">
        <v>91</v>
      </c>
      <c r="E309" s="29" t="n">
        <v>13</v>
      </c>
      <c r="F309" s="31" t="n">
        <v>0.15</v>
      </c>
      <c r="G309" s="14" t="str">
        <f aca="false">INDEX(Lists!$G$5:$G$12,MATCH(C309,Lists!$F$5:$F$12,0))</f>
        <v>East</v>
      </c>
      <c r="H309" s="14" t="str">
        <f aca="false">INDEX(Lists!$B$5:$B$12,MATCH(D309,Lists!$A$5:$A$12,0))</f>
        <v>Audio</v>
      </c>
      <c r="I309" s="32" t="n">
        <f aca="false">INDEX(Lists!$C$5:$C$12,MATCH(D309,Lists!$A$5:$A$12,0))</f>
        <v>190</v>
      </c>
      <c r="J309" s="32" t="n">
        <f aca="false">INDEX(Lists!$D$5:$D$12,MATCH(D309,Lists!$A$5:$A$12,0))</f>
        <v>105</v>
      </c>
      <c r="K309" s="32" t="n">
        <f aca="false">E309*I309*(1-F309)</f>
        <v>2099.5</v>
      </c>
      <c r="L309" s="32" t="n">
        <f aca="false">E309*J309</f>
        <v>1365</v>
      </c>
      <c r="M309" s="32" t="n">
        <f aca="false">K309-L309</f>
        <v>734.5</v>
      </c>
      <c r="N309" s="33" t="n">
        <f aca="false">DATE(YEAR(B309),MONTH(B309),1)</f>
        <v>46204</v>
      </c>
    </row>
    <row r="310" customFormat="false" ht="15" hidden="false" customHeight="false" outlineLevel="0" collapsed="false">
      <c r="A310" s="29" t="s">
        <v>384</v>
      </c>
      <c r="B310" s="30" t="n">
        <v>46220</v>
      </c>
      <c r="C310" s="29" t="s">
        <v>93</v>
      </c>
      <c r="D310" s="29" t="s">
        <v>65</v>
      </c>
      <c r="E310" s="29" t="n">
        <v>4</v>
      </c>
      <c r="F310" s="31" t="n">
        <v>0</v>
      </c>
      <c r="G310" s="14" t="str">
        <f aca="false">INDEX(Lists!$G$5:$G$12,MATCH(C310,Lists!$F$5:$F$12,0))</f>
        <v>West</v>
      </c>
      <c r="H310" s="14" t="str">
        <f aca="false">INDEX(Lists!$B$5:$B$12,MATCH(D310,Lists!$A$5:$A$12,0))</f>
        <v>Accessories</v>
      </c>
      <c r="I310" s="32" t="n">
        <f aca="false">INDEX(Lists!$C$5:$C$12,MATCH(D310,Lists!$A$5:$A$12,0))</f>
        <v>260</v>
      </c>
      <c r="J310" s="32" t="n">
        <f aca="false">INDEX(Lists!$D$5:$D$12,MATCH(D310,Lists!$A$5:$A$12,0))</f>
        <v>150</v>
      </c>
      <c r="K310" s="32" t="n">
        <f aca="false">E310*I310*(1-F310)</f>
        <v>1040</v>
      </c>
      <c r="L310" s="32" t="n">
        <f aca="false">E310*J310</f>
        <v>600</v>
      </c>
      <c r="M310" s="32" t="n">
        <f aca="false">K310-L310</f>
        <v>440</v>
      </c>
      <c r="N310" s="33" t="n">
        <f aca="false">DATE(YEAR(B310),MONTH(B310),1)</f>
        <v>46204</v>
      </c>
    </row>
    <row r="311" customFormat="false" ht="15" hidden="false" customHeight="false" outlineLevel="0" collapsed="false">
      <c r="A311" s="29" t="s">
        <v>385</v>
      </c>
      <c r="B311" s="30" t="n">
        <v>46221</v>
      </c>
      <c r="C311" s="29" t="s">
        <v>69</v>
      </c>
      <c r="D311" s="29" t="s">
        <v>65</v>
      </c>
      <c r="E311" s="29" t="n">
        <v>7</v>
      </c>
      <c r="F311" s="31" t="n">
        <v>0</v>
      </c>
      <c r="G311" s="14" t="str">
        <f aca="false">INDEX(Lists!$G$5:$G$12,MATCH(C311,Lists!$F$5:$F$12,0))</f>
        <v>East</v>
      </c>
      <c r="H311" s="14" t="str">
        <f aca="false">INDEX(Lists!$B$5:$B$12,MATCH(D311,Lists!$A$5:$A$12,0))</f>
        <v>Accessories</v>
      </c>
      <c r="I311" s="32" t="n">
        <f aca="false">INDEX(Lists!$C$5:$C$12,MATCH(D311,Lists!$A$5:$A$12,0))</f>
        <v>260</v>
      </c>
      <c r="J311" s="32" t="n">
        <f aca="false">INDEX(Lists!$D$5:$D$12,MATCH(D311,Lists!$A$5:$A$12,0))</f>
        <v>150</v>
      </c>
      <c r="K311" s="32" t="n">
        <f aca="false">E311*I311*(1-F311)</f>
        <v>1820</v>
      </c>
      <c r="L311" s="32" t="n">
        <f aca="false">E311*J311</f>
        <v>1050</v>
      </c>
      <c r="M311" s="32" t="n">
        <f aca="false">K311-L311</f>
        <v>770</v>
      </c>
      <c r="N311" s="33" t="n">
        <f aca="false">DATE(YEAR(B311),MONTH(B311),1)</f>
        <v>46204</v>
      </c>
    </row>
    <row r="312" customFormat="false" ht="15" hidden="false" customHeight="false" outlineLevel="0" collapsed="false">
      <c r="A312" s="29" t="s">
        <v>386</v>
      </c>
      <c r="B312" s="30" t="n">
        <v>46221</v>
      </c>
      <c r="C312" s="29" t="s">
        <v>69</v>
      </c>
      <c r="D312" s="29" t="s">
        <v>67</v>
      </c>
      <c r="E312" s="29" t="n">
        <v>20</v>
      </c>
      <c r="F312" s="31" t="n">
        <v>0.15</v>
      </c>
      <c r="G312" s="14" t="str">
        <f aca="false">INDEX(Lists!$G$5:$G$12,MATCH(C312,Lists!$F$5:$F$12,0))</f>
        <v>East</v>
      </c>
      <c r="H312" s="14" t="str">
        <f aca="false">INDEX(Lists!$B$5:$B$12,MATCH(D312,Lists!$A$5:$A$12,0))</f>
        <v>Accessories</v>
      </c>
      <c r="I312" s="32" t="n">
        <f aca="false">INDEX(Lists!$C$5:$C$12,MATCH(D312,Lists!$A$5:$A$12,0))</f>
        <v>120</v>
      </c>
      <c r="J312" s="32" t="n">
        <f aca="false">INDEX(Lists!$D$5:$D$12,MATCH(D312,Lists!$A$5:$A$12,0))</f>
        <v>62</v>
      </c>
      <c r="K312" s="32" t="n">
        <f aca="false">E312*I312*(1-F312)</f>
        <v>2040</v>
      </c>
      <c r="L312" s="32" t="n">
        <f aca="false">E312*J312</f>
        <v>1240</v>
      </c>
      <c r="M312" s="32" t="n">
        <f aca="false">K312-L312</f>
        <v>800</v>
      </c>
      <c r="N312" s="33" t="n">
        <f aca="false">DATE(YEAR(B312),MONTH(B312),1)</f>
        <v>46204</v>
      </c>
    </row>
    <row r="313" customFormat="false" ht="15" hidden="false" customHeight="false" outlineLevel="0" collapsed="false">
      <c r="A313" s="29" t="s">
        <v>387</v>
      </c>
      <c r="B313" s="30" t="n">
        <v>46224</v>
      </c>
      <c r="C313" s="29" t="s">
        <v>88</v>
      </c>
      <c r="D313" s="29" t="s">
        <v>72</v>
      </c>
      <c r="E313" s="29" t="n">
        <v>4</v>
      </c>
      <c r="F313" s="31" t="n">
        <v>0</v>
      </c>
      <c r="G313" s="14" t="str">
        <f aca="false">INDEX(Lists!$G$5:$G$12,MATCH(C313,Lists!$F$5:$F$12,0))</f>
        <v>North</v>
      </c>
      <c r="H313" s="14" t="str">
        <f aca="false">INDEX(Lists!$B$5:$B$12,MATCH(D313,Lists!$A$5:$A$12,0))</f>
        <v>Accessories</v>
      </c>
      <c r="I313" s="32" t="n">
        <f aca="false">INDEX(Lists!$C$5:$C$12,MATCH(D313,Lists!$A$5:$A$12,0))</f>
        <v>80</v>
      </c>
      <c r="J313" s="32" t="n">
        <f aca="false">INDEX(Lists!$D$5:$D$12,MATCH(D313,Lists!$A$5:$A$12,0))</f>
        <v>38</v>
      </c>
      <c r="K313" s="32" t="n">
        <f aca="false">E313*I313*(1-F313)</f>
        <v>320</v>
      </c>
      <c r="L313" s="32" t="n">
        <f aca="false">E313*J313</f>
        <v>152</v>
      </c>
      <c r="M313" s="32" t="n">
        <f aca="false">K313-L313</f>
        <v>168</v>
      </c>
      <c r="N313" s="33" t="n">
        <f aca="false">DATE(YEAR(B313),MONTH(B313),1)</f>
        <v>46204</v>
      </c>
    </row>
    <row r="314" customFormat="false" ht="15" hidden="false" customHeight="false" outlineLevel="0" collapsed="false">
      <c r="A314" s="29" t="s">
        <v>388</v>
      </c>
      <c r="B314" s="30" t="n">
        <v>46225</v>
      </c>
      <c r="C314" s="29" t="s">
        <v>64</v>
      </c>
      <c r="D314" s="29" t="s">
        <v>67</v>
      </c>
      <c r="E314" s="29" t="n">
        <v>12</v>
      </c>
      <c r="F314" s="31" t="n">
        <v>0.05</v>
      </c>
      <c r="G314" s="14" t="str">
        <f aca="false">INDEX(Lists!$G$5:$G$12,MATCH(C314,Lists!$F$5:$F$12,0))</f>
        <v>East</v>
      </c>
      <c r="H314" s="14" t="str">
        <f aca="false">INDEX(Lists!$B$5:$B$12,MATCH(D314,Lists!$A$5:$A$12,0))</f>
        <v>Accessories</v>
      </c>
      <c r="I314" s="32" t="n">
        <f aca="false">INDEX(Lists!$C$5:$C$12,MATCH(D314,Lists!$A$5:$A$12,0))</f>
        <v>120</v>
      </c>
      <c r="J314" s="32" t="n">
        <f aca="false">INDEX(Lists!$D$5:$D$12,MATCH(D314,Lists!$A$5:$A$12,0))</f>
        <v>62</v>
      </c>
      <c r="K314" s="32" t="n">
        <f aca="false">E314*I314*(1-F314)</f>
        <v>1368</v>
      </c>
      <c r="L314" s="32" t="n">
        <f aca="false">E314*J314</f>
        <v>744</v>
      </c>
      <c r="M314" s="32" t="n">
        <f aca="false">K314-L314</f>
        <v>624</v>
      </c>
      <c r="N314" s="33" t="n">
        <f aca="false">DATE(YEAR(B314),MONTH(B314),1)</f>
        <v>46204</v>
      </c>
    </row>
    <row r="315" customFormat="false" ht="15" hidden="false" customHeight="false" outlineLevel="0" collapsed="false">
      <c r="A315" s="29" t="s">
        <v>389</v>
      </c>
      <c r="B315" s="30" t="n">
        <v>46225</v>
      </c>
      <c r="C315" s="29" t="s">
        <v>61</v>
      </c>
      <c r="D315" s="29" t="s">
        <v>72</v>
      </c>
      <c r="E315" s="29" t="n">
        <v>17</v>
      </c>
      <c r="F315" s="31" t="n">
        <v>0.05</v>
      </c>
      <c r="G315" s="14" t="str">
        <f aca="false">INDEX(Lists!$G$5:$G$12,MATCH(C315,Lists!$F$5:$F$12,0))</f>
        <v>South</v>
      </c>
      <c r="H315" s="14" t="str">
        <f aca="false">INDEX(Lists!$B$5:$B$12,MATCH(D315,Lists!$A$5:$A$12,0))</f>
        <v>Accessories</v>
      </c>
      <c r="I315" s="32" t="n">
        <f aca="false">INDEX(Lists!$C$5:$C$12,MATCH(D315,Lists!$A$5:$A$12,0))</f>
        <v>80</v>
      </c>
      <c r="J315" s="32" t="n">
        <f aca="false">INDEX(Lists!$D$5:$D$12,MATCH(D315,Lists!$A$5:$A$12,0))</f>
        <v>38</v>
      </c>
      <c r="K315" s="32" t="n">
        <f aca="false">E315*I315*(1-F315)</f>
        <v>1292</v>
      </c>
      <c r="L315" s="32" t="n">
        <f aca="false">E315*J315</f>
        <v>646</v>
      </c>
      <c r="M315" s="32" t="n">
        <f aca="false">K315-L315</f>
        <v>646</v>
      </c>
      <c r="N315" s="33" t="n">
        <f aca="false">DATE(YEAR(B315),MONTH(B315),1)</f>
        <v>46204</v>
      </c>
    </row>
    <row r="316" customFormat="false" ht="15" hidden="false" customHeight="false" outlineLevel="0" collapsed="false">
      <c r="A316" s="29" t="s">
        <v>390</v>
      </c>
      <c r="B316" s="30" t="n">
        <v>46226</v>
      </c>
      <c r="C316" s="29" t="s">
        <v>86</v>
      </c>
      <c r="D316" s="29" t="s">
        <v>67</v>
      </c>
      <c r="E316" s="29" t="n">
        <v>2</v>
      </c>
      <c r="F316" s="31" t="n">
        <v>0</v>
      </c>
      <c r="G316" s="14" t="str">
        <f aca="false">INDEX(Lists!$G$5:$G$12,MATCH(C316,Lists!$F$5:$F$12,0))</f>
        <v>North</v>
      </c>
      <c r="H316" s="14" t="str">
        <f aca="false">INDEX(Lists!$B$5:$B$12,MATCH(D316,Lists!$A$5:$A$12,0))</f>
        <v>Accessories</v>
      </c>
      <c r="I316" s="32" t="n">
        <f aca="false">INDEX(Lists!$C$5:$C$12,MATCH(D316,Lists!$A$5:$A$12,0))</f>
        <v>120</v>
      </c>
      <c r="J316" s="32" t="n">
        <f aca="false">INDEX(Lists!$D$5:$D$12,MATCH(D316,Lists!$A$5:$A$12,0))</f>
        <v>62</v>
      </c>
      <c r="K316" s="32" t="n">
        <f aca="false">E316*I316*(1-F316)</f>
        <v>240</v>
      </c>
      <c r="L316" s="32" t="n">
        <f aca="false">E316*J316</f>
        <v>124</v>
      </c>
      <c r="M316" s="32" t="n">
        <f aca="false">K316-L316</f>
        <v>116</v>
      </c>
      <c r="N316" s="33" t="n">
        <f aca="false">DATE(YEAR(B316),MONTH(B316),1)</f>
        <v>46204</v>
      </c>
    </row>
    <row r="317" customFormat="false" ht="15" hidden="false" customHeight="false" outlineLevel="0" collapsed="false">
      <c r="A317" s="29" t="s">
        <v>391</v>
      </c>
      <c r="B317" s="30" t="n">
        <v>46227</v>
      </c>
      <c r="C317" s="29" t="s">
        <v>64</v>
      </c>
      <c r="D317" s="29" t="s">
        <v>62</v>
      </c>
      <c r="E317" s="29" t="n">
        <v>4</v>
      </c>
      <c r="F317" s="31" t="n">
        <v>0.15</v>
      </c>
      <c r="G317" s="14" t="str">
        <f aca="false">INDEX(Lists!$G$5:$G$12,MATCH(C317,Lists!$F$5:$F$12,0))</f>
        <v>East</v>
      </c>
      <c r="H317" s="14" t="str">
        <f aca="false">INDEX(Lists!$B$5:$B$12,MATCH(D317,Lists!$A$5:$A$12,0))</f>
        <v>Computers</v>
      </c>
      <c r="I317" s="32" t="n">
        <f aca="false">INDEX(Lists!$C$5:$C$12,MATCH(D317,Lists!$A$5:$A$12,0))</f>
        <v>1600</v>
      </c>
      <c r="J317" s="32" t="n">
        <f aca="false">INDEX(Lists!$D$5:$D$12,MATCH(D317,Lists!$A$5:$A$12,0))</f>
        <v>1100</v>
      </c>
      <c r="K317" s="32" t="n">
        <f aca="false">E317*I317*(1-F317)</f>
        <v>5440</v>
      </c>
      <c r="L317" s="32" t="n">
        <f aca="false">E317*J317</f>
        <v>4400</v>
      </c>
      <c r="M317" s="32" t="n">
        <f aca="false">K317-L317</f>
        <v>1040</v>
      </c>
      <c r="N317" s="33" t="n">
        <f aca="false">DATE(YEAR(B317),MONTH(B317),1)</f>
        <v>46204</v>
      </c>
    </row>
    <row r="318" customFormat="false" ht="15" hidden="false" customHeight="false" outlineLevel="0" collapsed="false">
      <c r="A318" s="29" t="s">
        <v>392</v>
      </c>
      <c r="B318" s="30" t="n">
        <v>46228</v>
      </c>
      <c r="C318" s="29" t="s">
        <v>74</v>
      </c>
      <c r="D318" s="29" t="s">
        <v>67</v>
      </c>
      <c r="E318" s="29" t="n">
        <v>17</v>
      </c>
      <c r="F318" s="31" t="n">
        <v>0.05</v>
      </c>
      <c r="G318" s="14" t="str">
        <f aca="false">INDEX(Lists!$G$5:$G$12,MATCH(C318,Lists!$F$5:$F$12,0))</f>
        <v>South</v>
      </c>
      <c r="H318" s="14" t="str">
        <f aca="false">INDEX(Lists!$B$5:$B$12,MATCH(D318,Lists!$A$5:$A$12,0))</f>
        <v>Accessories</v>
      </c>
      <c r="I318" s="32" t="n">
        <f aca="false">INDEX(Lists!$C$5:$C$12,MATCH(D318,Lists!$A$5:$A$12,0))</f>
        <v>120</v>
      </c>
      <c r="J318" s="32" t="n">
        <f aca="false">INDEX(Lists!$D$5:$D$12,MATCH(D318,Lists!$A$5:$A$12,0))</f>
        <v>62</v>
      </c>
      <c r="K318" s="32" t="n">
        <f aca="false">E318*I318*(1-F318)</f>
        <v>1938</v>
      </c>
      <c r="L318" s="32" t="n">
        <f aca="false">E318*J318</f>
        <v>1054</v>
      </c>
      <c r="M318" s="32" t="n">
        <f aca="false">K318-L318</f>
        <v>884</v>
      </c>
      <c r="N318" s="33" t="n">
        <f aca="false">DATE(YEAR(B318),MONTH(B318),1)</f>
        <v>46204</v>
      </c>
    </row>
    <row r="319" customFormat="false" ht="15" hidden="false" customHeight="false" outlineLevel="0" collapsed="false">
      <c r="A319" s="29" t="s">
        <v>393</v>
      </c>
      <c r="B319" s="30" t="n">
        <v>46229</v>
      </c>
      <c r="C319" s="29" t="s">
        <v>64</v>
      </c>
      <c r="D319" s="29" t="s">
        <v>62</v>
      </c>
      <c r="E319" s="29" t="n">
        <v>4</v>
      </c>
      <c r="F319" s="31" t="n">
        <v>0</v>
      </c>
      <c r="G319" s="14" t="str">
        <f aca="false">INDEX(Lists!$G$5:$G$12,MATCH(C319,Lists!$F$5:$F$12,0))</f>
        <v>East</v>
      </c>
      <c r="H319" s="14" t="str">
        <f aca="false">INDEX(Lists!$B$5:$B$12,MATCH(D319,Lists!$A$5:$A$12,0))</f>
        <v>Computers</v>
      </c>
      <c r="I319" s="32" t="n">
        <f aca="false">INDEX(Lists!$C$5:$C$12,MATCH(D319,Lists!$A$5:$A$12,0))</f>
        <v>1600</v>
      </c>
      <c r="J319" s="32" t="n">
        <f aca="false">INDEX(Lists!$D$5:$D$12,MATCH(D319,Lists!$A$5:$A$12,0))</f>
        <v>1100</v>
      </c>
      <c r="K319" s="32" t="n">
        <f aca="false">E319*I319*(1-F319)</f>
        <v>6400</v>
      </c>
      <c r="L319" s="32" t="n">
        <f aca="false">E319*J319</f>
        <v>4400</v>
      </c>
      <c r="M319" s="32" t="n">
        <f aca="false">K319-L319</f>
        <v>2000</v>
      </c>
      <c r="N319" s="33" t="n">
        <f aca="false">DATE(YEAR(B319),MONTH(B319),1)</f>
        <v>46204</v>
      </c>
    </row>
    <row r="320" customFormat="false" ht="15" hidden="false" customHeight="false" outlineLevel="0" collapsed="false">
      <c r="A320" s="29" t="s">
        <v>394</v>
      </c>
      <c r="B320" s="30" t="n">
        <v>46229</v>
      </c>
      <c r="C320" s="29" t="s">
        <v>69</v>
      </c>
      <c r="D320" s="29" t="s">
        <v>75</v>
      </c>
      <c r="E320" s="29" t="n">
        <v>11</v>
      </c>
      <c r="F320" s="31" t="n">
        <v>0.05</v>
      </c>
      <c r="G320" s="14" t="str">
        <f aca="false">INDEX(Lists!$G$5:$G$12,MATCH(C320,Lists!$F$5:$F$12,0))</f>
        <v>East</v>
      </c>
      <c r="H320" s="14" t="str">
        <f aca="false">INDEX(Lists!$B$5:$B$12,MATCH(D320,Lists!$A$5:$A$12,0))</f>
        <v>Audio</v>
      </c>
      <c r="I320" s="32" t="n">
        <f aca="false">INDEX(Lists!$C$5:$C$12,MATCH(D320,Lists!$A$5:$A$12,0))</f>
        <v>140</v>
      </c>
      <c r="J320" s="32" t="n">
        <f aca="false">INDEX(Lists!$D$5:$D$12,MATCH(D320,Lists!$A$5:$A$12,0))</f>
        <v>70</v>
      </c>
      <c r="K320" s="32" t="n">
        <f aca="false">E320*I320*(1-F320)</f>
        <v>1463</v>
      </c>
      <c r="L320" s="32" t="n">
        <f aca="false">E320*J320</f>
        <v>770</v>
      </c>
      <c r="M320" s="32" t="n">
        <f aca="false">K320-L320</f>
        <v>693</v>
      </c>
      <c r="N320" s="33" t="n">
        <f aca="false">DATE(YEAR(B320),MONTH(B320),1)</f>
        <v>46204</v>
      </c>
    </row>
    <row r="321" customFormat="false" ht="15" hidden="false" customHeight="false" outlineLevel="0" collapsed="false">
      <c r="A321" s="29" t="s">
        <v>395</v>
      </c>
      <c r="B321" s="30" t="n">
        <v>46230</v>
      </c>
      <c r="C321" s="29" t="s">
        <v>83</v>
      </c>
      <c r="D321" s="29" t="s">
        <v>67</v>
      </c>
      <c r="E321" s="29" t="n">
        <v>19</v>
      </c>
      <c r="F321" s="31" t="n">
        <v>0.1</v>
      </c>
      <c r="G321" s="14" t="str">
        <f aca="false">INDEX(Lists!$G$5:$G$12,MATCH(C321,Lists!$F$5:$F$12,0))</f>
        <v>West</v>
      </c>
      <c r="H321" s="14" t="str">
        <f aca="false">INDEX(Lists!$B$5:$B$12,MATCH(D321,Lists!$A$5:$A$12,0))</f>
        <v>Accessories</v>
      </c>
      <c r="I321" s="32" t="n">
        <f aca="false">INDEX(Lists!$C$5:$C$12,MATCH(D321,Lists!$A$5:$A$12,0))</f>
        <v>120</v>
      </c>
      <c r="J321" s="32" t="n">
        <f aca="false">INDEX(Lists!$D$5:$D$12,MATCH(D321,Lists!$A$5:$A$12,0))</f>
        <v>62</v>
      </c>
      <c r="K321" s="32" t="n">
        <f aca="false">E321*I321*(1-F321)</f>
        <v>2052</v>
      </c>
      <c r="L321" s="32" t="n">
        <f aca="false">E321*J321</f>
        <v>1178</v>
      </c>
      <c r="M321" s="32" t="n">
        <f aca="false">K321-L321</f>
        <v>874</v>
      </c>
      <c r="N321" s="33" t="n">
        <f aca="false">DATE(YEAR(B321),MONTH(B321),1)</f>
        <v>46204</v>
      </c>
    </row>
    <row r="322" customFormat="false" ht="15" hidden="false" customHeight="false" outlineLevel="0" collapsed="false">
      <c r="A322" s="29" t="s">
        <v>396</v>
      </c>
      <c r="B322" s="30" t="n">
        <v>46231</v>
      </c>
      <c r="C322" s="29" t="s">
        <v>86</v>
      </c>
      <c r="D322" s="29" t="s">
        <v>65</v>
      </c>
      <c r="E322" s="29" t="n">
        <v>6</v>
      </c>
      <c r="F322" s="31" t="n">
        <v>0</v>
      </c>
      <c r="G322" s="14" t="str">
        <f aca="false">INDEX(Lists!$G$5:$G$12,MATCH(C322,Lists!$F$5:$F$12,0))</f>
        <v>North</v>
      </c>
      <c r="H322" s="14" t="str">
        <f aca="false">INDEX(Lists!$B$5:$B$12,MATCH(D322,Lists!$A$5:$A$12,0))</f>
        <v>Accessories</v>
      </c>
      <c r="I322" s="32" t="n">
        <f aca="false">INDEX(Lists!$C$5:$C$12,MATCH(D322,Lists!$A$5:$A$12,0))</f>
        <v>260</v>
      </c>
      <c r="J322" s="32" t="n">
        <f aca="false">INDEX(Lists!$D$5:$D$12,MATCH(D322,Lists!$A$5:$A$12,0))</f>
        <v>150</v>
      </c>
      <c r="K322" s="32" t="n">
        <f aca="false">E322*I322*(1-F322)</f>
        <v>1560</v>
      </c>
      <c r="L322" s="32" t="n">
        <f aca="false">E322*J322</f>
        <v>900</v>
      </c>
      <c r="M322" s="32" t="n">
        <f aca="false">K322-L322</f>
        <v>660</v>
      </c>
      <c r="N322" s="33" t="n">
        <f aca="false">DATE(YEAR(B322),MONTH(B322),1)</f>
        <v>46204</v>
      </c>
    </row>
    <row r="323" customFormat="false" ht="15" hidden="false" customHeight="false" outlineLevel="0" collapsed="false">
      <c r="A323" s="29" t="s">
        <v>397</v>
      </c>
      <c r="B323" s="30" t="n">
        <v>46231</v>
      </c>
      <c r="C323" s="29" t="s">
        <v>93</v>
      </c>
      <c r="D323" s="29" t="s">
        <v>72</v>
      </c>
      <c r="E323" s="29" t="n">
        <v>10</v>
      </c>
      <c r="F323" s="31" t="n">
        <v>0.05</v>
      </c>
      <c r="G323" s="14" t="str">
        <f aca="false">INDEX(Lists!$G$5:$G$12,MATCH(C323,Lists!$F$5:$F$12,0))</f>
        <v>West</v>
      </c>
      <c r="H323" s="14" t="str">
        <f aca="false">INDEX(Lists!$B$5:$B$12,MATCH(D323,Lists!$A$5:$A$12,0))</f>
        <v>Accessories</v>
      </c>
      <c r="I323" s="32" t="n">
        <f aca="false">INDEX(Lists!$C$5:$C$12,MATCH(D323,Lists!$A$5:$A$12,0))</f>
        <v>80</v>
      </c>
      <c r="J323" s="32" t="n">
        <f aca="false">INDEX(Lists!$D$5:$D$12,MATCH(D323,Lists!$A$5:$A$12,0))</f>
        <v>38</v>
      </c>
      <c r="K323" s="32" t="n">
        <f aca="false">E323*I323*(1-F323)</f>
        <v>760</v>
      </c>
      <c r="L323" s="32" t="n">
        <f aca="false">E323*J323</f>
        <v>380</v>
      </c>
      <c r="M323" s="32" t="n">
        <f aca="false">K323-L323</f>
        <v>380</v>
      </c>
      <c r="N323" s="33" t="n">
        <f aca="false">DATE(YEAR(B323),MONTH(B323),1)</f>
        <v>46204</v>
      </c>
    </row>
    <row r="324" customFormat="false" ht="15" hidden="false" customHeight="false" outlineLevel="0" collapsed="false">
      <c r="A324" s="29" t="s">
        <v>398</v>
      </c>
      <c r="B324" s="30" t="n">
        <v>46231</v>
      </c>
      <c r="C324" s="29" t="s">
        <v>86</v>
      </c>
      <c r="D324" s="29" t="s">
        <v>72</v>
      </c>
      <c r="E324" s="29" t="n">
        <v>16</v>
      </c>
      <c r="F324" s="31" t="n">
        <v>0.05</v>
      </c>
      <c r="G324" s="14" t="str">
        <f aca="false">INDEX(Lists!$G$5:$G$12,MATCH(C324,Lists!$F$5:$F$12,0))</f>
        <v>North</v>
      </c>
      <c r="H324" s="14" t="str">
        <f aca="false">INDEX(Lists!$B$5:$B$12,MATCH(D324,Lists!$A$5:$A$12,0))</f>
        <v>Accessories</v>
      </c>
      <c r="I324" s="32" t="n">
        <f aca="false">INDEX(Lists!$C$5:$C$12,MATCH(D324,Lists!$A$5:$A$12,0))</f>
        <v>80</v>
      </c>
      <c r="J324" s="32" t="n">
        <f aca="false">INDEX(Lists!$D$5:$D$12,MATCH(D324,Lists!$A$5:$A$12,0))</f>
        <v>38</v>
      </c>
      <c r="K324" s="32" t="n">
        <f aca="false">E324*I324*(1-F324)</f>
        <v>1216</v>
      </c>
      <c r="L324" s="32" t="n">
        <f aca="false">E324*J324</f>
        <v>608</v>
      </c>
      <c r="M324" s="32" t="n">
        <f aca="false">K324-L324</f>
        <v>608</v>
      </c>
      <c r="N324" s="33" t="n">
        <f aca="false">DATE(YEAR(B324),MONTH(B324),1)</f>
        <v>46204</v>
      </c>
    </row>
    <row r="325" customFormat="false" ht="15" hidden="false" customHeight="false" outlineLevel="0" collapsed="false">
      <c r="A325" s="29" t="s">
        <v>399</v>
      </c>
      <c r="B325" s="30" t="n">
        <v>46232</v>
      </c>
      <c r="C325" s="29" t="s">
        <v>61</v>
      </c>
      <c r="D325" s="29" t="s">
        <v>70</v>
      </c>
      <c r="E325" s="29" t="n">
        <v>1</v>
      </c>
      <c r="F325" s="31" t="n">
        <v>0.1</v>
      </c>
      <c r="G325" s="14" t="str">
        <f aca="false">INDEX(Lists!$G$5:$G$12,MATCH(C325,Lists!$F$5:$F$12,0))</f>
        <v>South</v>
      </c>
      <c r="H325" s="14" t="str">
        <f aca="false">INDEX(Lists!$B$5:$B$12,MATCH(D325,Lists!$A$5:$A$12,0))</f>
        <v>Displays</v>
      </c>
      <c r="I325" s="32" t="n">
        <f aca="false">INDEX(Lists!$C$5:$C$12,MATCH(D325,Lists!$A$5:$A$12,0))</f>
        <v>520</v>
      </c>
      <c r="J325" s="32" t="n">
        <f aca="false">INDEX(Lists!$D$5:$D$12,MATCH(D325,Lists!$A$5:$A$12,0))</f>
        <v>340</v>
      </c>
      <c r="K325" s="32" t="n">
        <f aca="false">E325*I325*(1-F325)</f>
        <v>468</v>
      </c>
      <c r="L325" s="32" t="n">
        <f aca="false">E325*J325</f>
        <v>340</v>
      </c>
      <c r="M325" s="32" t="n">
        <f aca="false">K325-L325</f>
        <v>128</v>
      </c>
      <c r="N325" s="33" t="n">
        <f aca="false">DATE(YEAR(B325),MONTH(B325),1)</f>
        <v>46204</v>
      </c>
    </row>
    <row r="326" customFormat="false" ht="15" hidden="false" customHeight="false" outlineLevel="0" collapsed="false">
      <c r="A326" s="29" t="s">
        <v>400</v>
      </c>
      <c r="B326" s="30" t="n">
        <v>46232</v>
      </c>
      <c r="C326" s="29" t="s">
        <v>74</v>
      </c>
      <c r="D326" s="29" t="s">
        <v>67</v>
      </c>
      <c r="E326" s="29" t="n">
        <v>20</v>
      </c>
      <c r="F326" s="31" t="n">
        <v>0.05</v>
      </c>
      <c r="G326" s="14" t="str">
        <f aca="false">INDEX(Lists!$G$5:$G$12,MATCH(C326,Lists!$F$5:$F$12,0))</f>
        <v>South</v>
      </c>
      <c r="H326" s="14" t="str">
        <f aca="false">INDEX(Lists!$B$5:$B$12,MATCH(D326,Lists!$A$5:$A$12,0))</f>
        <v>Accessories</v>
      </c>
      <c r="I326" s="32" t="n">
        <f aca="false">INDEX(Lists!$C$5:$C$12,MATCH(D326,Lists!$A$5:$A$12,0))</f>
        <v>120</v>
      </c>
      <c r="J326" s="32" t="n">
        <f aca="false">INDEX(Lists!$D$5:$D$12,MATCH(D326,Lists!$A$5:$A$12,0))</f>
        <v>62</v>
      </c>
      <c r="K326" s="32" t="n">
        <f aca="false">E326*I326*(1-F326)</f>
        <v>2280</v>
      </c>
      <c r="L326" s="32" t="n">
        <f aca="false">E326*J326</f>
        <v>1240</v>
      </c>
      <c r="M326" s="32" t="n">
        <f aca="false">K326-L326</f>
        <v>1040</v>
      </c>
      <c r="N326" s="33" t="n">
        <f aca="false">DATE(YEAR(B326),MONTH(B326),1)</f>
        <v>46204</v>
      </c>
    </row>
    <row r="327" customFormat="false" ht="15" hidden="false" customHeight="false" outlineLevel="0" collapsed="false">
      <c r="A327" s="29" t="s">
        <v>401</v>
      </c>
      <c r="B327" s="30" t="n">
        <v>46233</v>
      </c>
      <c r="C327" s="29" t="s">
        <v>93</v>
      </c>
      <c r="D327" s="29" t="s">
        <v>72</v>
      </c>
      <c r="E327" s="29" t="n">
        <v>8</v>
      </c>
      <c r="F327" s="31" t="n">
        <v>0</v>
      </c>
      <c r="G327" s="14" t="str">
        <f aca="false">INDEX(Lists!$G$5:$G$12,MATCH(C327,Lists!$F$5:$F$12,0))</f>
        <v>West</v>
      </c>
      <c r="H327" s="14" t="str">
        <f aca="false">INDEX(Lists!$B$5:$B$12,MATCH(D327,Lists!$A$5:$A$12,0))</f>
        <v>Accessories</v>
      </c>
      <c r="I327" s="32" t="n">
        <f aca="false">INDEX(Lists!$C$5:$C$12,MATCH(D327,Lists!$A$5:$A$12,0))</f>
        <v>80</v>
      </c>
      <c r="J327" s="32" t="n">
        <f aca="false">INDEX(Lists!$D$5:$D$12,MATCH(D327,Lists!$A$5:$A$12,0))</f>
        <v>38</v>
      </c>
      <c r="K327" s="32" t="n">
        <f aca="false">E327*I327*(1-F327)</f>
        <v>640</v>
      </c>
      <c r="L327" s="32" t="n">
        <f aca="false">E327*J327</f>
        <v>304</v>
      </c>
      <c r="M327" s="32" t="n">
        <f aca="false">K327-L327</f>
        <v>336</v>
      </c>
      <c r="N327" s="33" t="n">
        <f aca="false">DATE(YEAR(B327),MONTH(B327),1)</f>
        <v>46204</v>
      </c>
    </row>
    <row r="328" customFormat="false" ht="15" hidden="false" customHeight="false" outlineLevel="0" collapsed="false">
      <c r="A328" s="29" t="s">
        <v>402</v>
      </c>
      <c r="B328" s="30" t="n">
        <v>46235</v>
      </c>
      <c r="C328" s="29" t="s">
        <v>88</v>
      </c>
      <c r="D328" s="29" t="s">
        <v>80</v>
      </c>
      <c r="E328" s="29" t="n">
        <v>1</v>
      </c>
      <c r="F328" s="31" t="n">
        <v>0</v>
      </c>
      <c r="G328" s="14" t="str">
        <f aca="false">INDEX(Lists!$G$5:$G$12,MATCH(C328,Lists!$F$5:$F$12,0))</f>
        <v>North</v>
      </c>
      <c r="H328" s="14" t="str">
        <f aca="false">INDEX(Lists!$B$5:$B$12,MATCH(D328,Lists!$A$5:$A$12,0))</f>
        <v>Computers</v>
      </c>
      <c r="I328" s="32" t="n">
        <f aca="false">INDEX(Lists!$C$5:$C$12,MATCH(D328,Lists!$A$5:$A$12,0))</f>
        <v>2400</v>
      </c>
      <c r="J328" s="32" t="n">
        <f aca="false">INDEX(Lists!$D$5:$D$12,MATCH(D328,Lists!$A$5:$A$12,0))</f>
        <v>1650</v>
      </c>
      <c r="K328" s="32" t="n">
        <f aca="false">E328*I328*(1-F328)</f>
        <v>2400</v>
      </c>
      <c r="L328" s="32" t="n">
        <f aca="false">E328*J328</f>
        <v>1650</v>
      </c>
      <c r="M328" s="32" t="n">
        <f aca="false">K328-L328</f>
        <v>750</v>
      </c>
      <c r="N328" s="33" t="n">
        <f aca="false">DATE(YEAR(B328),MONTH(B328),1)</f>
        <v>46235</v>
      </c>
    </row>
    <row r="329" customFormat="false" ht="15" hidden="false" customHeight="false" outlineLevel="0" collapsed="false">
      <c r="A329" s="29" t="s">
        <v>403</v>
      </c>
      <c r="B329" s="30" t="n">
        <v>46236</v>
      </c>
      <c r="C329" s="29" t="s">
        <v>93</v>
      </c>
      <c r="D329" s="29" t="s">
        <v>67</v>
      </c>
      <c r="E329" s="29" t="n">
        <v>14</v>
      </c>
      <c r="F329" s="31" t="n">
        <v>0</v>
      </c>
      <c r="G329" s="14" t="str">
        <f aca="false">INDEX(Lists!$G$5:$G$12,MATCH(C329,Lists!$F$5:$F$12,0))</f>
        <v>West</v>
      </c>
      <c r="H329" s="14" t="str">
        <f aca="false">INDEX(Lists!$B$5:$B$12,MATCH(D329,Lists!$A$5:$A$12,0))</f>
        <v>Accessories</v>
      </c>
      <c r="I329" s="32" t="n">
        <f aca="false">INDEX(Lists!$C$5:$C$12,MATCH(D329,Lists!$A$5:$A$12,0))</f>
        <v>120</v>
      </c>
      <c r="J329" s="32" t="n">
        <f aca="false">INDEX(Lists!$D$5:$D$12,MATCH(D329,Lists!$A$5:$A$12,0))</f>
        <v>62</v>
      </c>
      <c r="K329" s="32" t="n">
        <f aca="false">E329*I329*(1-F329)</f>
        <v>1680</v>
      </c>
      <c r="L329" s="32" t="n">
        <f aca="false">E329*J329</f>
        <v>868</v>
      </c>
      <c r="M329" s="32" t="n">
        <f aca="false">K329-L329</f>
        <v>812</v>
      </c>
      <c r="N329" s="33" t="n">
        <f aca="false">DATE(YEAR(B329),MONTH(B329),1)</f>
        <v>46235</v>
      </c>
    </row>
    <row r="330" customFormat="false" ht="15" hidden="false" customHeight="false" outlineLevel="0" collapsed="false">
      <c r="A330" s="29" t="s">
        <v>404</v>
      </c>
      <c r="B330" s="30" t="n">
        <v>46237</v>
      </c>
      <c r="C330" s="29" t="s">
        <v>93</v>
      </c>
      <c r="D330" s="29" t="s">
        <v>72</v>
      </c>
      <c r="E330" s="29" t="n">
        <v>20</v>
      </c>
      <c r="F330" s="31" t="n">
        <v>0.05</v>
      </c>
      <c r="G330" s="14" t="str">
        <f aca="false">INDEX(Lists!$G$5:$G$12,MATCH(C330,Lists!$F$5:$F$12,0))</f>
        <v>West</v>
      </c>
      <c r="H330" s="14" t="str">
        <f aca="false">INDEX(Lists!$B$5:$B$12,MATCH(D330,Lists!$A$5:$A$12,0))</f>
        <v>Accessories</v>
      </c>
      <c r="I330" s="32" t="n">
        <f aca="false">INDEX(Lists!$C$5:$C$12,MATCH(D330,Lists!$A$5:$A$12,0))</f>
        <v>80</v>
      </c>
      <c r="J330" s="32" t="n">
        <f aca="false">INDEX(Lists!$D$5:$D$12,MATCH(D330,Lists!$A$5:$A$12,0))</f>
        <v>38</v>
      </c>
      <c r="K330" s="32" t="n">
        <f aca="false">E330*I330*(1-F330)</f>
        <v>1520</v>
      </c>
      <c r="L330" s="32" t="n">
        <f aca="false">E330*J330</f>
        <v>760</v>
      </c>
      <c r="M330" s="32" t="n">
        <f aca="false">K330-L330</f>
        <v>760</v>
      </c>
      <c r="N330" s="33" t="n">
        <f aca="false">DATE(YEAR(B330),MONTH(B330),1)</f>
        <v>46235</v>
      </c>
    </row>
    <row r="331" customFormat="false" ht="15" hidden="false" customHeight="false" outlineLevel="0" collapsed="false">
      <c r="A331" s="29" t="s">
        <v>405</v>
      </c>
      <c r="B331" s="30" t="n">
        <v>46237</v>
      </c>
      <c r="C331" s="29" t="s">
        <v>86</v>
      </c>
      <c r="D331" s="29" t="s">
        <v>75</v>
      </c>
      <c r="E331" s="29" t="n">
        <v>5</v>
      </c>
      <c r="F331" s="31" t="n">
        <v>0.1</v>
      </c>
      <c r="G331" s="14" t="str">
        <f aca="false">INDEX(Lists!$G$5:$G$12,MATCH(C331,Lists!$F$5:$F$12,0))</f>
        <v>North</v>
      </c>
      <c r="H331" s="14" t="str">
        <f aca="false">INDEX(Lists!$B$5:$B$12,MATCH(D331,Lists!$A$5:$A$12,0))</f>
        <v>Audio</v>
      </c>
      <c r="I331" s="32" t="n">
        <f aca="false">INDEX(Lists!$C$5:$C$12,MATCH(D331,Lists!$A$5:$A$12,0))</f>
        <v>140</v>
      </c>
      <c r="J331" s="32" t="n">
        <f aca="false">INDEX(Lists!$D$5:$D$12,MATCH(D331,Lists!$A$5:$A$12,0))</f>
        <v>70</v>
      </c>
      <c r="K331" s="32" t="n">
        <f aca="false">E331*I331*(1-F331)</f>
        <v>630</v>
      </c>
      <c r="L331" s="32" t="n">
        <f aca="false">E331*J331</f>
        <v>350</v>
      </c>
      <c r="M331" s="32" t="n">
        <f aca="false">K331-L331</f>
        <v>280</v>
      </c>
      <c r="N331" s="33" t="n">
        <f aca="false">DATE(YEAR(B331),MONTH(B331),1)</f>
        <v>46235</v>
      </c>
    </row>
    <row r="332" customFormat="false" ht="15" hidden="false" customHeight="false" outlineLevel="0" collapsed="false">
      <c r="A332" s="29" t="s">
        <v>406</v>
      </c>
      <c r="B332" s="30" t="n">
        <v>46237</v>
      </c>
      <c r="C332" s="29" t="s">
        <v>64</v>
      </c>
      <c r="D332" s="29" t="s">
        <v>67</v>
      </c>
      <c r="E332" s="29" t="n">
        <v>16</v>
      </c>
      <c r="F332" s="31" t="n">
        <v>0.1</v>
      </c>
      <c r="G332" s="14" t="str">
        <f aca="false">INDEX(Lists!$G$5:$G$12,MATCH(C332,Lists!$F$5:$F$12,0))</f>
        <v>East</v>
      </c>
      <c r="H332" s="14" t="str">
        <f aca="false">INDEX(Lists!$B$5:$B$12,MATCH(D332,Lists!$A$5:$A$12,0))</f>
        <v>Accessories</v>
      </c>
      <c r="I332" s="32" t="n">
        <f aca="false">INDEX(Lists!$C$5:$C$12,MATCH(D332,Lists!$A$5:$A$12,0))</f>
        <v>120</v>
      </c>
      <c r="J332" s="32" t="n">
        <f aca="false">INDEX(Lists!$D$5:$D$12,MATCH(D332,Lists!$A$5:$A$12,0))</f>
        <v>62</v>
      </c>
      <c r="K332" s="32" t="n">
        <f aca="false">E332*I332*(1-F332)</f>
        <v>1728</v>
      </c>
      <c r="L332" s="32" t="n">
        <f aca="false">E332*J332</f>
        <v>992</v>
      </c>
      <c r="M332" s="32" t="n">
        <f aca="false">K332-L332</f>
        <v>736</v>
      </c>
      <c r="N332" s="33" t="n">
        <f aca="false">DATE(YEAR(B332),MONTH(B332),1)</f>
        <v>46235</v>
      </c>
    </row>
    <row r="333" customFormat="false" ht="15" hidden="false" customHeight="false" outlineLevel="0" collapsed="false">
      <c r="A333" s="29" t="s">
        <v>407</v>
      </c>
      <c r="B333" s="30" t="n">
        <v>46237</v>
      </c>
      <c r="C333" s="29" t="s">
        <v>64</v>
      </c>
      <c r="D333" s="29" t="s">
        <v>67</v>
      </c>
      <c r="E333" s="29" t="n">
        <v>15</v>
      </c>
      <c r="F333" s="31" t="n">
        <v>0</v>
      </c>
      <c r="G333" s="14" t="str">
        <f aca="false">INDEX(Lists!$G$5:$G$12,MATCH(C333,Lists!$F$5:$F$12,0))</f>
        <v>East</v>
      </c>
      <c r="H333" s="14" t="str">
        <f aca="false">INDEX(Lists!$B$5:$B$12,MATCH(D333,Lists!$A$5:$A$12,0))</f>
        <v>Accessories</v>
      </c>
      <c r="I333" s="32" t="n">
        <f aca="false">INDEX(Lists!$C$5:$C$12,MATCH(D333,Lists!$A$5:$A$12,0))</f>
        <v>120</v>
      </c>
      <c r="J333" s="32" t="n">
        <f aca="false">INDEX(Lists!$D$5:$D$12,MATCH(D333,Lists!$A$5:$A$12,0))</f>
        <v>62</v>
      </c>
      <c r="K333" s="32" t="n">
        <f aca="false">E333*I333*(1-F333)</f>
        <v>1800</v>
      </c>
      <c r="L333" s="32" t="n">
        <f aca="false">E333*J333</f>
        <v>930</v>
      </c>
      <c r="M333" s="32" t="n">
        <f aca="false">K333-L333</f>
        <v>870</v>
      </c>
      <c r="N333" s="33" t="n">
        <f aca="false">DATE(YEAR(B333),MONTH(B333),1)</f>
        <v>46235</v>
      </c>
    </row>
    <row r="334" customFormat="false" ht="15" hidden="false" customHeight="false" outlineLevel="0" collapsed="false">
      <c r="A334" s="29" t="s">
        <v>408</v>
      </c>
      <c r="B334" s="30" t="n">
        <v>46240</v>
      </c>
      <c r="C334" s="29" t="s">
        <v>64</v>
      </c>
      <c r="D334" s="29" t="s">
        <v>75</v>
      </c>
      <c r="E334" s="29" t="n">
        <v>12</v>
      </c>
      <c r="F334" s="31" t="n">
        <v>0.05</v>
      </c>
      <c r="G334" s="14" t="str">
        <f aca="false">INDEX(Lists!$G$5:$G$12,MATCH(C334,Lists!$F$5:$F$12,0))</f>
        <v>East</v>
      </c>
      <c r="H334" s="14" t="str">
        <f aca="false">INDEX(Lists!$B$5:$B$12,MATCH(D334,Lists!$A$5:$A$12,0))</f>
        <v>Audio</v>
      </c>
      <c r="I334" s="32" t="n">
        <f aca="false">INDEX(Lists!$C$5:$C$12,MATCH(D334,Lists!$A$5:$A$12,0))</f>
        <v>140</v>
      </c>
      <c r="J334" s="32" t="n">
        <f aca="false">INDEX(Lists!$D$5:$D$12,MATCH(D334,Lists!$A$5:$A$12,0))</f>
        <v>70</v>
      </c>
      <c r="K334" s="32" t="n">
        <f aca="false">E334*I334*(1-F334)</f>
        <v>1596</v>
      </c>
      <c r="L334" s="32" t="n">
        <f aca="false">E334*J334</f>
        <v>840</v>
      </c>
      <c r="M334" s="32" t="n">
        <f aca="false">K334-L334</f>
        <v>756</v>
      </c>
      <c r="N334" s="33" t="n">
        <f aca="false">DATE(YEAR(B334),MONTH(B334),1)</f>
        <v>46235</v>
      </c>
    </row>
    <row r="335" customFormat="false" ht="15" hidden="false" customHeight="false" outlineLevel="0" collapsed="false">
      <c r="A335" s="29" t="s">
        <v>409</v>
      </c>
      <c r="B335" s="30" t="n">
        <v>46241</v>
      </c>
      <c r="C335" s="29" t="s">
        <v>69</v>
      </c>
      <c r="D335" s="29" t="s">
        <v>72</v>
      </c>
      <c r="E335" s="29" t="n">
        <v>16</v>
      </c>
      <c r="F335" s="31" t="n">
        <v>0.05</v>
      </c>
      <c r="G335" s="14" t="str">
        <f aca="false">INDEX(Lists!$G$5:$G$12,MATCH(C335,Lists!$F$5:$F$12,0))</f>
        <v>East</v>
      </c>
      <c r="H335" s="14" t="str">
        <f aca="false">INDEX(Lists!$B$5:$B$12,MATCH(D335,Lists!$A$5:$A$12,0))</f>
        <v>Accessories</v>
      </c>
      <c r="I335" s="32" t="n">
        <f aca="false">INDEX(Lists!$C$5:$C$12,MATCH(D335,Lists!$A$5:$A$12,0))</f>
        <v>80</v>
      </c>
      <c r="J335" s="32" t="n">
        <f aca="false">INDEX(Lists!$D$5:$D$12,MATCH(D335,Lists!$A$5:$A$12,0))</f>
        <v>38</v>
      </c>
      <c r="K335" s="32" t="n">
        <f aca="false">E335*I335*(1-F335)</f>
        <v>1216</v>
      </c>
      <c r="L335" s="32" t="n">
        <f aca="false">E335*J335</f>
        <v>608</v>
      </c>
      <c r="M335" s="32" t="n">
        <f aca="false">K335-L335</f>
        <v>608</v>
      </c>
      <c r="N335" s="33" t="n">
        <f aca="false">DATE(YEAR(B335),MONTH(B335),1)</f>
        <v>46235</v>
      </c>
    </row>
    <row r="336" customFormat="false" ht="15" hidden="false" customHeight="false" outlineLevel="0" collapsed="false">
      <c r="A336" s="29" t="s">
        <v>410</v>
      </c>
      <c r="B336" s="30" t="n">
        <v>46242</v>
      </c>
      <c r="C336" s="29" t="s">
        <v>61</v>
      </c>
      <c r="D336" s="29" t="s">
        <v>70</v>
      </c>
      <c r="E336" s="29" t="n">
        <v>5</v>
      </c>
      <c r="F336" s="31" t="n">
        <v>0</v>
      </c>
      <c r="G336" s="14" t="str">
        <f aca="false">INDEX(Lists!$G$5:$G$12,MATCH(C336,Lists!$F$5:$F$12,0))</f>
        <v>South</v>
      </c>
      <c r="H336" s="14" t="str">
        <f aca="false">INDEX(Lists!$B$5:$B$12,MATCH(D336,Lists!$A$5:$A$12,0))</f>
        <v>Displays</v>
      </c>
      <c r="I336" s="32" t="n">
        <f aca="false">INDEX(Lists!$C$5:$C$12,MATCH(D336,Lists!$A$5:$A$12,0))</f>
        <v>520</v>
      </c>
      <c r="J336" s="32" t="n">
        <f aca="false">INDEX(Lists!$D$5:$D$12,MATCH(D336,Lists!$A$5:$A$12,0))</f>
        <v>340</v>
      </c>
      <c r="K336" s="32" t="n">
        <f aca="false">E336*I336*(1-F336)</f>
        <v>2600</v>
      </c>
      <c r="L336" s="32" t="n">
        <f aca="false">E336*J336</f>
        <v>1700</v>
      </c>
      <c r="M336" s="32" t="n">
        <f aca="false">K336-L336</f>
        <v>900</v>
      </c>
      <c r="N336" s="33" t="n">
        <f aca="false">DATE(YEAR(B336),MONTH(B336),1)</f>
        <v>46235</v>
      </c>
    </row>
    <row r="337" customFormat="false" ht="15" hidden="false" customHeight="false" outlineLevel="0" collapsed="false">
      <c r="A337" s="29" t="s">
        <v>411</v>
      </c>
      <c r="B337" s="30" t="n">
        <v>46243</v>
      </c>
      <c r="C337" s="29" t="s">
        <v>69</v>
      </c>
      <c r="D337" s="29" t="s">
        <v>70</v>
      </c>
      <c r="E337" s="29" t="n">
        <v>5</v>
      </c>
      <c r="F337" s="31" t="n">
        <v>0.15</v>
      </c>
      <c r="G337" s="14" t="str">
        <f aca="false">INDEX(Lists!$G$5:$G$12,MATCH(C337,Lists!$F$5:$F$12,0))</f>
        <v>East</v>
      </c>
      <c r="H337" s="14" t="str">
        <f aca="false">INDEX(Lists!$B$5:$B$12,MATCH(D337,Lists!$A$5:$A$12,0))</f>
        <v>Displays</v>
      </c>
      <c r="I337" s="32" t="n">
        <f aca="false">INDEX(Lists!$C$5:$C$12,MATCH(D337,Lists!$A$5:$A$12,0))</f>
        <v>520</v>
      </c>
      <c r="J337" s="32" t="n">
        <f aca="false">INDEX(Lists!$D$5:$D$12,MATCH(D337,Lists!$A$5:$A$12,0))</f>
        <v>340</v>
      </c>
      <c r="K337" s="32" t="n">
        <f aca="false">E337*I337*(1-F337)</f>
        <v>2210</v>
      </c>
      <c r="L337" s="32" t="n">
        <f aca="false">E337*J337</f>
        <v>1700</v>
      </c>
      <c r="M337" s="32" t="n">
        <f aca="false">K337-L337</f>
        <v>510</v>
      </c>
      <c r="N337" s="33" t="n">
        <f aca="false">DATE(YEAR(B337),MONTH(B337),1)</f>
        <v>46235</v>
      </c>
    </row>
    <row r="338" customFormat="false" ht="15" hidden="false" customHeight="false" outlineLevel="0" collapsed="false">
      <c r="A338" s="29" t="s">
        <v>412</v>
      </c>
      <c r="B338" s="30" t="n">
        <v>46245</v>
      </c>
      <c r="C338" s="29" t="s">
        <v>83</v>
      </c>
      <c r="D338" s="29" t="s">
        <v>72</v>
      </c>
      <c r="E338" s="29" t="n">
        <v>16</v>
      </c>
      <c r="F338" s="31" t="n">
        <v>0</v>
      </c>
      <c r="G338" s="14" t="str">
        <f aca="false">INDEX(Lists!$G$5:$G$12,MATCH(C338,Lists!$F$5:$F$12,0))</f>
        <v>West</v>
      </c>
      <c r="H338" s="14" t="str">
        <f aca="false">INDEX(Lists!$B$5:$B$12,MATCH(D338,Lists!$A$5:$A$12,0))</f>
        <v>Accessories</v>
      </c>
      <c r="I338" s="32" t="n">
        <f aca="false">INDEX(Lists!$C$5:$C$12,MATCH(D338,Lists!$A$5:$A$12,0))</f>
        <v>80</v>
      </c>
      <c r="J338" s="32" t="n">
        <f aca="false">INDEX(Lists!$D$5:$D$12,MATCH(D338,Lists!$A$5:$A$12,0))</f>
        <v>38</v>
      </c>
      <c r="K338" s="32" t="n">
        <f aca="false">E338*I338*(1-F338)</f>
        <v>1280</v>
      </c>
      <c r="L338" s="32" t="n">
        <f aca="false">E338*J338</f>
        <v>608</v>
      </c>
      <c r="M338" s="32" t="n">
        <f aca="false">K338-L338</f>
        <v>672</v>
      </c>
      <c r="N338" s="33" t="n">
        <f aca="false">DATE(YEAR(B338),MONTH(B338),1)</f>
        <v>46235</v>
      </c>
    </row>
    <row r="339" customFormat="false" ht="15" hidden="false" customHeight="false" outlineLevel="0" collapsed="false">
      <c r="A339" s="29" t="s">
        <v>413</v>
      </c>
      <c r="B339" s="30" t="n">
        <v>46246</v>
      </c>
      <c r="C339" s="29" t="s">
        <v>69</v>
      </c>
      <c r="D339" s="29" t="s">
        <v>65</v>
      </c>
      <c r="E339" s="29" t="n">
        <v>2</v>
      </c>
      <c r="F339" s="31" t="n">
        <v>0</v>
      </c>
      <c r="G339" s="14" t="str">
        <f aca="false">INDEX(Lists!$G$5:$G$12,MATCH(C339,Lists!$F$5:$F$12,0))</f>
        <v>East</v>
      </c>
      <c r="H339" s="14" t="str">
        <f aca="false">INDEX(Lists!$B$5:$B$12,MATCH(D339,Lists!$A$5:$A$12,0))</f>
        <v>Accessories</v>
      </c>
      <c r="I339" s="32" t="n">
        <f aca="false">INDEX(Lists!$C$5:$C$12,MATCH(D339,Lists!$A$5:$A$12,0))</f>
        <v>260</v>
      </c>
      <c r="J339" s="32" t="n">
        <f aca="false">INDEX(Lists!$D$5:$D$12,MATCH(D339,Lists!$A$5:$A$12,0))</f>
        <v>150</v>
      </c>
      <c r="K339" s="32" t="n">
        <f aca="false">E339*I339*(1-F339)</f>
        <v>520</v>
      </c>
      <c r="L339" s="32" t="n">
        <f aca="false">E339*J339</f>
        <v>300</v>
      </c>
      <c r="M339" s="32" t="n">
        <f aca="false">K339-L339</f>
        <v>220</v>
      </c>
      <c r="N339" s="33" t="n">
        <f aca="false">DATE(YEAR(B339),MONTH(B339),1)</f>
        <v>46235</v>
      </c>
    </row>
    <row r="340" customFormat="false" ht="15" hidden="false" customHeight="false" outlineLevel="0" collapsed="false">
      <c r="A340" s="29" t="s">
        <v>414</v>
      </c>
      <c r="B340" s="30" t="n">
        <v>46246</v>
      </c>
      <c r="C340" s="29" t="s">
        <v>93</v>
      </c>
      <c r="D340" s="29" t="s">
        <v>67</v>
      </c>
      <c r="E340" s="29" t="n">
        <v>12</v>
      </c>
      <c r="F340" s="31" t="n">
        <v>0.05</v>
      </c>
      <c r="G340" s="14" t="str">
        <f aca="false">INDEX(Lists!$G$5:$G$12,MATCH(C340,Lists!$F$5:$F$12,0))</f>
        <v>West</v>
      </c>
      <c r="H340" s="14" t="str">
        <f aca="false">INDEX(Lists!$B$5:$B$12,MATCH(D340,Lists!$A$5:$A$12,0))</f>
        <v>Accessories</v>
      </c>
      <c r="I340" s="32" t="n">
        <f aca="false">INDEX(Lists!$C$5:$C$12,MATCH(D340,Lists!$A$5:$A$12,0))</f>
        <v>120</v>
      </c>
      <c r="J340" s="32" t="n">
        <f aca="false">INDEX(Lists!$D$5:$D$12,MATCH(D340,Lists!$A$5:$A$12,0))</f>
        <v>62</v>
      </c>
      <c r="K340" s="32" t="n">
        <f aca="false">E340*I340*(1-F340)</f>
        <v>1368</v>
      </c>
      <c r="L340" s="32" t="n">
        <f aca="false">E340*J340</f>
        <v>744</v>
      </c>
      <c r="M340" s="32" t="n">
        <f aca="false">K340-L340</f>
        <v>624</v>
      </c>
      <c r="N340" s="33" t="n">
        <f aca="false">DATE(YEAR(B340),MONTH(B340),1)</f>
        <v>46235</v>
      </c>
    </row>
    <row r="341" customFormat="false" ht="15" hidden="false" customHeight="false" outlineLevel="0" collapsed="false">
      <c r="A341" s="29" t="s">
        <v>415</v>
      </c>
      <c r="B341" s="30" t="n">
        <v>46247</v>
      </c>
      <c r="C341" s="29" t="s">
        <v>74</v>
      </c>
      <c r="D341" s="29" t="s">
        <v>75</v>
      </c>
      <c r="E341" s="29" t="n">
        <v>2</v>
      </c>
      <c r="F341" s="31" t="n">
        <v>0</v>
      </c>
      <c r="G341" s="14" t="str">
        <f aca="false">INDEX(Lists!$G$5:$G$12,MATCH(C341,Lists!$F$5:$F$12,0))</f>
        <v>South</v>
      </c>
      <c r="H341" s="14" t="str">
        <f aca="false">INDEX(Lists!$B$5:$B$12,MATCH(D341,Lists!$A$5:$A$12,0))</f>
        <v>Audio</v>
      </c>
      <c r="I341" s="32" t="n">
        <f aca="false">INDEX(Lists!$C$5:$C$12,MATCH(D341,Lists!$A$5:$A$12,0))</f>
        <v>140</v>
      </c>
      <c r="J341" s="32" t="n">
        <f aca="false">INDEX(Lists!$D$5:$D$12,MATCH(D341,Lists!$A$5:$A$12,0))</f>
        <v>70</v>
      </c>
      <c r="K341" s="32" t="n">
        <f aca="false">E341*I341*(1-F341)</f>
        <v>280</v>
      </c>
      <c r="L341" s="32" t="n">
        <f aca="false">E341*J341</f>
        <v>140</v>
      </c>
      <c r="M341" s="32" t="n">
        <f aca="false">K341-L341</f>
        <v>140</v>
      </c>
      <c r="N341" s="33" t="n">
        <f aca="false">DATE(YEAR(B341),MONTH(B341),1)</f>
        <v>46235</v>
      </c>
    </row>
    <row r="342" customFormat="false" ht="15" hidden="false" customHeight="false" outlineLevel="0" collapsed="false">
      <c r="A342" s="29" t="s">
        <v>416</v>
      </c>
      <c r="B342" s="30" t="n">
        <v>46247</v>
      </c>
      <c r="C342" s="29" t="s">
        <v>88</v>
      </c>
      <c r="D342" s="29" t="s">
        <v>70</v>
      </c>
      <c r="E342" s="29" t="n">
        <v>8</v>
      </c>
      <c r="F342" s="31" t="n">
        <v>0</v>
      </c>
      <c r="G342" s="14" t="str">
        <f aca="false">INDEX(Lists!$G$5:$G$12,MATCH(C342,Lists!$F$5:$F$12,0))</f>
        <v>North</v>
      </c>
      <c r="H342" s="14" t="str">
        <f aca="false">INDEX(Lists!$B$5:$B$12,MATCH(D342,Lists!$A$5:$A$12,0))</f>
        <v>Displays</v>
      </c>
      <c r="I342" s="32" t="n">
        <f aca="false">INDEX(Lists!$C$5:$C$12,MATCH(D342,Lists!$A$5:$A$12,0))</f>
        <v>520</v>
      </c>
      <c r="J342" s="32" t="n">
        <f aca="false">INDEX(Lists!$D$5:$D$12,MATCH(D342,Lists!$A$5:$A$12,0))</f>
        <v>340</v>
      </c>
      <c r="K342" s="32" t="n">
        <f aca="false">E342*I342*(1-F342)</f>
        <v>4160</v>
      </c>
      <c r="L342" s="32" t="n">
        <f aca="false">E342*J342</f>
        <v>2720</v>
      </c>
      <c r="M342" s="32" t="n">
        <f aca="false">K342-L342</f>
        <v>1440</v>
      </c>
      <c r="N342" s="33" t="n">
        <f aca="false">DATE(YEAR(B342),MONTH(B342),1)</f>
        <v>46235</v>
      </c>
    </row>
    <row r="343" customFormat="false" ht="15" hidden="false" customHeight="false" outlineLevel="0" collapsed="false">
      <c r="A343" s="29" t="s">
        <v>417</v>
      </c>
      <c r="B343" s="30" t="n">
        <v>46248</v>
      </c>
      <c r="C343" s="29" t="s">
        <v>83</v>
      </c>
      <c r="D343" s="29" t="s">
        <v>72</v>
      </c>
      <c r="E343" s="29" t="n">
        <v>7</v>
      </c>
      <c r="F343" s="31" t="n">
        <v>0</v>
      </c>
      <c r="G343" s="14" t="str">
        <f aca="false">INDEX(Lists!$G$5:$G$12,MATCH(C343,Lists!$F$5:$F$12,0))</f>
        <v>West</v>
      </c>
      <c r="H343" s="14" t="str">
        <f aca="false">INDEX(Lists!$B$5:$B$12,MATCH(D343,Lists!$A$5:$A$12,0))</f>
        <v>Accessories</v>
      </c>
      <c r="I343" s="32" t="n">
        <f aca="false">INDEX(Lists!$C$5:$C$12,MATCH(D343,Lists!$A$5:$A$12,0))</f>
        <v>80</v>
      </c>
      <c r="J343" s="32" t="n">
        <f aca="false">INDEX(Lists!$D$5:$D$12,MATCH(D343,Lists!$A$5:$A$12,0))</f>
        <v>38</v>
      </c>
      <c r="K343" s="32" t="n">
        <f aca="false">E343*I343*(1-F343)</f>
        <v>560</v>
      </c>
      <c r="L343" s="32" t="n">
        <f aca="false">E343*J343</f>
        <v>266</v>
      </c>
      <c r="M343" s="32" t="n">
        <f aca="false">K343-L343</f>
        <v>294</v>
      </c>
      <c r="N343" s="33" t="n">
        <f aca="false">DATE(YEAR(B343),MONTH(B343),1)</f>
        <v>46235</v>
      </c>
    </row>
    <row r="344" customFormat="false" ht="15" hidden="false" customHeight="false" outlineLevel="0" collapsed="false">
      <c r="A344" s="29" t="s">
        <v>418</v>
      </c>
      <c r="B344" s="30" t="n">
        <v>46249</v>
      </c>
      <c r="C344" s="29" t="s">
        <v>69</v>
      </c>
      <c r="D344" s="29" t="s">
        <v>91</v>
      </c>
      <c r="E344" s="29" t="n">
        <v>9</v>
      </c>
      <c r="F344" s="31" t="n">
        <v>0.05</v>
      </c>
      <c r="G344" s="14" t="str">
        <f aca="false">INDEX(Lists!$G$5:$G$12,MATCH(C344,Lists!$F$5:$F$12,0))</f>
        <v>East</v>
      </c>
      <c r="H344" s="14" t="str">
        <f aca="false">INDEX(Lists!$B$5:$B$12,MATCH(D344,Lists!$A$5:$A$12,0))</f>
        <v>Audio</v>
      </c>
      <c r="I344" s="32" t="n">
        <f aca="false">INDEX(Lists!$C$5:$C$12,MATCH(D344,Lists!$A$5:$A$12,0))</f>
        <v>190</v>
      </c>
      <c r="J344" s="32" t="n">
        <f aca="false">INDEX(Lists!$D$5:$D$12,MATCH(D344,Lists!$A$5:$A$12,0))</f>
        <v>105</v>
      </c>
      <c r="K344" s="32" t="n">
        <f aca="false">E344*I344*(1-F344)</f>
        <v>1624.5</v>
      </c>
      <c r="L344" s="32" t="n">
        <f aca="false">E344*J344</f>
        <v>945</v>
      </c>
      <c r="M344" s="32" t="n">
        <f aca="false">K344-L344</f>
        <v>679.5</v>
      </c>
      <c r="N344" s="33" t="n">
        <f aca="false">DATE(YEAR(B344),MONTH(B344),1)</f>
        <v>46235</v>
      </c>
    </row>
    <row r="345" customFormat="false" ht="15" hidden="false" customHeight="false" outlineLevel="0" collapsed="false">
      <c r="A345" s="29" t="s">
        <v>419</v>
      </c>
      <c r="B345" s="30" t="n">
        <v>46249</v>
      </c>
      <c r="C345" s="29" t="s">
        <v>61</v>
      </c>
      <c r="D345" s="29" t="s">
        <v>62</v>
      </c>
      <c r="E345" s="29" t="n">
        <v>1</v>
      </c>
      <c r="F345" s="31" t="n">
        <v>0</v>
      </c>
      <c r="G345" s="14" t="str">
        <f aca="false">INDEX(Lists!$G$5:$G$12,MATCH(C345,Lists!$F$5:$F$12,0))</f>
        <v>South</v>
      </c>
      <c r="H345" s="14" t="str">
        <f aca="false">INDEX(Lists!$B$5:$B$12,MATCH(D345,Lists!$A$5:$A$12,0))</f>
        <v>Computers</v>
      </c>
      <c r="I345" s="32" t="n">
        <f aca="false">INDEX(Lists!$C$5:$C$12,MATCH(D345,Lists!$A$5:$A$12,0))</f>
        <v>1600</v>
      </c>
      <c r="J345" s="32" t="n">
        <f aca="false">INDEX(Lists!$D$5:$D$12,MATCH(D345,Lists!$A$5:$A$12,0))</f>
        <v>1100</v>
      </c>
      <c r="K345" s="32" t="n">
        <f aca="false">E345*I345*(1-F345)</f>
        <v>1600</v>
      </c>
      <c r="L345" s="32" t="n">
        <f aca="false">E345*J345</f>
        <v>1100</v>
      </c>
      <c r="M345" s="32" t="n">
        <f aca="false">K345-L345</f>
        <v>500</v>
      </c>
      <c r="N345" s="33" t="n">
        <f aca="false">DATE(YEAR(B345),MONTH(B345),1)</f>
        <v>46235</v>
      </c>
    </row>
    <row r="346" customFormat="false" ht="15" hidden="false" customHeight="false" outlineLevel="0" collapsed="false">
      <c r="A346" s="29" t="s">
        <v>420</v>
      </c>
      <c r="B346" s="30" t="n">
        <v>46249</v>
      </c>
      <c r="C346" s="29" t="s">
        <v>61</v>
      </c>
      <c r="D346" s="29" t="s">
        <v>72</v>
      </c>
      <c r="E346" s="29" t="n">
        <v>8</v>
      </c>
      <c r="F346" s="31" t="n">
        <v>0.1</v>
      </c>
      <c r="G346" s="14" t="str">
        <f aca="false">INDEX(Lists!$G$5:$G$12,MATCH(C346,Lists!$F$5:$F$12,0))</f>
        <v>South</v>
      </c>
      <c r="H346" s="14" t="str">
        <f aca="false">INDEX(Lists!$B$5:$B$12,MATCH(D346,Lists!$A$5:$A$12,0))</f>
        <v>Accessories</v>
      </c>
      <c r="I346" s="32" t="n">
        <f aca="false">INDEX(Lists!$C$5:$C$12,MATCH(D346,Lists!$A$5:$A$12,0))</f>
        <v>80</v>
      </c>
      <c r="J346" s="32" t="n">
        <f aca="false">INDEX(Lists!$D$5:$D$12,MATCH(D346,Lists!$A$5:$A$12,0))</f>
        <v>38</v>
      </c>
      <c r="K346" s="32" t="n">
        <f aca="false">E346*I346*(1-F346)</f>
        <v>576</v>
      </c>
      <c r="L346" s="32" t="n">
        <f aca="false">E346*J346</f>
        <v>304</v>
      </c>
      <c r="M346" s="32" t="n">
        <f aca="false">K346-L346</f>
        <v>272</v>
      </c>
      <c r="N346" s="33" t="n">
        <f aca="false">DATE(YEAR(B346),MONTH(B346),1)</f>
        <v>46235</v>
      </c>
    </row>
    <row r="347" customFormat="false" ht="15" hidden="false" customHeight="false" outlineLevel="0" collapsed="false">
      <c r="A347" s="29" t="s">
        <v>421</v>
      </c>
      <c r="B347" s="30" t="n">
        <v>46251</v>
      </c>
      <c r="C347" s="29" t="s">
        <v>93</v>
      </c>
      <c r="D347" s="29" t="s">
        <v>80</v>
      </c>
      <c r="E347" s="29" t="n">
        <v>4</v>
      </c>
      <c r="F347" s="31" t="n">
        <v>0</v>
      </c>
      <c r="G347" s="14" t="str">
        <f aca="false">INDEX(Lists!$G$5:$G$12,MATCH(C347,Lists!$F$5:$F$12,0))</f>
        <v>West</v>
      </c>
      <c r="H347" s="14" t="str">
        <f aca="false">INDEX(Lists!$B$5:$B$12,MATCH(D347,Lists!$A$5:$A$12,0))</f>
        <v>Computers</v>
      </c>
      <c r="I347" s="32" t="n">
        <f aca="false">INDEX(Lists!$C$5:$C$12,MATCH(D347,Lists!$A$5:$A$12,0))</f>
        <v>2400</v>
      </c>
      <c r="J347" s="32" t="n">
        <f aca="false">INDEX(Lists!$D$5:$D$12,MATCH(D347,Lists!$A$5:$A$12,0))</f>
        <v>1650</v>
      </c>
      <c r="K347" s="32" t="n">
        <f aca="false">E347*I347*(1-F347)</f>
        <v>9600</v>
      </c>
      <c r="L347" s="32" t="n">
        <f aca="false">E347*J347</f>
        <v>6600</v>
      </c>
      <c r="M347" s="32" t="n">
        <f aca="false">K347-L347</f>
        <v>3000</v>
      </c>
      <c r="N347" s="33" t="n">
        <f aca="false">DATE(YEAR(B347),MONTH(B347),1)</f>
        <v>46235</v>
      </c>
    </row>
    <row r="348" customFormat="false" ht="15" hidden="false" customHeight="false" outlineLevel="0" collapsed="false">
      <c r="A348" s="29" t="s">
        <v>422</v>
      </c>
      <c r="B348" s="30" t="n">
        <v>46252</v>
      </c>
      <c r="C348" s="29" t="s">
        <v>74</v>
      </c>
      <c r="D348" s="29" t="s">
        <v>62</v>
      </c>
      <c r="E348" s="29" t="n">
        <v>2</v>
      </c>
      <c r="F348" s="31" t="n">
        <v>0</v>
      </c>
      <c r="G348" s="14" t="str">
        <f aca="false">INDEX(Lists!$G$5:$G$12,MATCH(C348,Lists!$F$5:$F$12,0))</f>
        <v>South</v>
      </c>
      <c r="H348" s="14" t="str">
        <f aca="false">INDEX(Lists!$B$5:$B$12,MATCH(D348,Lists!$A$5:$A$12,0))</f>
        <v>Computers</v>
      </c>
      <c r="I348" s="32" t="n">
        <f aca="false">INDEX(Lists!$C$5:$C$12,MATCH(D348,Lists!$A$5:$A$12,0))</f>
        <v>1600</v>
      </c>
      <c r="J348" s="32" t="n">
        <f aca="false">INDEX(Lists!$D$5:$D$12,MATCH(D348,Lists!$A$5:$A$12,0))</f>
        <v>1100</v>
      </c>
      <c r="K348" s="32" t="n">
        <f aca="false">E348*I348*(1-F348)</f>
        <v>3200</v>
      </c>
      <c r="L348" s="32" t="n">
        <f aca="false">E348*J348</f>
        <v>2200</v>
      </c>
      <c r="M348" s="32" t="n">
        <f aca="false">K348-L348</f>
        <v>1000</v>
      </c>
      <c r="N348" s="33" t="n">
        <f aca="false">DATE(YEAR(B348),MONTH(B348),1)</f>
        <v>46235</v>
      </c>
    </row>
    <row r="349" customFormat="false" ht="15" hidden="false" customHeight="false" outlineLevel="0" collapsed="false">
      <c r="A349" s="29" t="s">
        <v>423</v>
      </c>
      <c r="B349" s="30" t="n">
        <v>46252</v>
      </c>
      <c r="C349" s="29" t="s">
        <v>83</v>
      </c>
      <c r="D349" s="29" t="s">
        <v>67</v>
      </c>
      <c r="E349" s="29" t="n">
        <v>7</v>
      </c>
      <c r="F349" s="31" t="n">
        <v>0.05</v>
      </c>
      <c r="G349" s="14" t="str">
        <f aca="false">INDEX(Lists!$G$5:$G$12,MATCH(C349,Lists!$F$5:$F$12,0))</f>
        <v>West</v>
      </c>
      <c r="H349" s="14" t="str">
        <f aca="false">INDEX(Lists!$B$5:$B$12,MATCH(D349,Lists!$A$5:$A$12,0))</f>
        <v>Accessories</v>
      </c>
      <c r="I349" s="32" t="n">
        <f aca="false">INDEX(Lists!$C$5:$C$12,MATCH(D349,Lists!$A$5:$A$12,0))</f>
        <v>120</v>
      </c>
      <c r="J349" s="32" t="n">
        <f aca="false">INDEX(Lists!$D$5:$D$12,MATCH(D349,Lists!$A$5:$A$12,0))</f>
        <v>62</v>
      </c>
      <c r="K349" s="32" t="n">
        <f aca="false">E349*I349*(1-F349)</f>
        <v>798</v>
      </c>
      <c r="L349" s="32" t="n">
        <f aca="false">E349*J349</f>
        <v>434</v>
      </c>
      <c r="M349" s="32" t="n">
        <f aca="false">K349-L349</f>
        <v>364</v>
      </c>
      <c r="N349" s="33" t="n">
        <f aca="false">DATE(YEAR(B349),MONTH(B349),1)</f>
        <v>46235</v>
      </c>
    </row>
    <row r="350" customFormat="false" ht="15" hidden="false" customHeight="false" outlineLevel="0" collapsed="false">
      <c r="A350" s="29" t="s">
        <v>424</v>
      </c>
      <c r="B350" s="30" t="n">
        <v>46252</v>
      </c>
      <c r="C350" s="29" t="s">
        <v>69</v>
      </c>
      <c r="D350" s="29" t="s">
        <v>72</v>
      </c>
      <c r="E350" s="29" t="n">
        <v>10</v>
      </c>
      <c r="F350" s="31" t="n">
        <v>0</v>
      </c>
      <c r="G350" s="14" t="str">
        <f aca="false">INDEX(Lists!$G$5:$G$12,MATCH(C350,Lists!$F$5:$F$12,0))</f>
        <v>East</v>
      </c>
      <c r="H350" s="14" t="str">
        <f aca="false">INDEX(Lists!$B$5:$B$12,MATCH(D350,Lists!$A$5:$A$12,0))</f>
        <v>Accessories</v>
      </c>
      <c r="I350" s="32" t="n">
        <f aca="false">INDEX(Lists!$C$5:$C$12,MATCH(D350,Lists!$A$5:$A$12,0))</f>
        <v>80</v>
      </c>
      <c r="J350" s="32" t="n">
        <f aca="false">INDEX(Lists!$D$5:$D$12,MATCH(D350,Lists!$A$5:$A$12,0))</f>
        <v>38</v>
      </c>
      <c r="K350" s="32" t="n">
        <f aca="false">E350*I350*(1-F350)</f>
        <v>800</v>
      </c>
      <c r="L350" s="32" t="n">
        <f aca="false">E350*J350</f>
        <v>380</v>
      </c>
      <c r="M350" s="32" t="n">
        <f aca="false">K350-L350</f>
        <v>420</v>
      </c>
      <c r="N350" s="33" t="n">
        <f aca="false">DATE(YEAR(B350),MONTH(B350),1)</f>
        <v>46235</v>
      </c>
    </row>
    <row r="351" customFormat="false" ht="15" hidden="false" customHeight="false" outlineLevel="0" collapsed="false">
      <c r="A351" s="29" t="s">
        <v>425</v>
      </c>
      <c r="B351" s="30" t="n">
        <v>46253</v>
      </c>
      <c r="C351" s="29" t="s">
        <v>88</v>
      </c>
      <c r="D351" s="29" t="s">
        <v>72</v>
      </c>
      <c r="E351" s="29" t="n">
        <v>19</v>
      </c>
      <c r="F351" s="31" t="n">
        <v>0.1</v>
      </c>
      <c r="G351" s="14" t="str">
        <f aca="false">INDEX(Lists!$G$5:$G$12,MATCH(C351,Lists!$F$5:$F$12,0))</f>
        <v>North</v>
      </c>
      <c r="H351" s="14" t="str">
        <f aca="false">INDEX(Lists!$B$5:$B$12,MATCH(D351,Lists!$A$5:$A$12,0))</f>
        <v>Accessories</v>
      </c>
      <c r="I351" s="32" t="n">
        <f aca="false">INDEX(Lists!$C$5:$C$12,MATCH(D351,Lists!$A$5:$A$12,0))</f>
        <v>80</v>
      </c>
      <c r="J351" s="32" t="n">
        <f aca="false">INDEX(Lists!$D$5:$D$12,MATCH(D351,Lists!$A$5:$A$12,0))</f>
        <v>38</v>
      </c>
      <c r="K351" s="32" t="n">
        <f aca="false">E351*I351*(1-F351)</f>
        <v>1368</v>
      </c>
      <c r="L351" s="32" t="n">
        <f aca="false">E351*J351</f>
        <v>722</v>
      </c>
      <c r="M351" s="32" t="n">
        <f aca="false">K351-L351</f>
        <v>646</v>
      </c>
      <c r="N351" s="33" t="n">
        <f aca="false">DATE(YEAR(B351),MONTH(B351),1)</f>
        <v>46235</v>
      </c>
    </row>
    <row r="352" customFormat="false" ht="15" hidden="false" customHeight="false" outlineLevel="0" collapsed="false">
      <c r="A352" s="29" t="s">
        <v>426</v>
      </c>
      <c r="B352" s="30" t="n">
        <v>46254</v>
      </c>
      <c r="C352" s="29" t="s">
        <v>86</v>
      </c>
      <c r="D352" s="29" t="s">
        <v>70</v>
      </c>
      <c r="E352" s="29" t="n">
        <v>7</v>
      </c>
      <c r="F352" s="31" t="n">
        <v>0</v>
      </c>
      <c r="G352" s="14" t="str">
        <f aca="false">INDEX(Lists!$G$5:$G$12,MATCH(C352,Lists!$F$5:$F$12,0))</f>
        <v>North</v>
      </c>
      <c r="H352" s="14" t="str">
        <f aca="false">INDEX(Lists!$B$5:$B$12,MATCH(D352,Lists!$A$5:$A$12,0))</f>
        <v>Displays</v>
      </c>
      <c r="I352" s="32" t="n">
        <f aca="false">INDEX(Lists!$C$5:$C$12,MATCH(D352,Lists!$A$5:$A$12,0))</f>
        <v>520</v>
      </c>
      <c r="J352" s="32" t="n">
        <f aca="false">INDEX(Lists!$D$5:$D$12,MATCH(D352,Lists!$A$5:$A$12,0))</f>
        <v>340</v>
      </c>
      <c r="K352" s="32" t="n">
        <f aca="false">E352*I352*(1-F352)</f>
        <v>3640</v>
      </c>
      <c r="L352" s="32" t="n">
        <f aca="false">E352*J352</f>
        <v>2380</v>
      </c>
      <c r="M352" s="32" t="n">
        <f aca="false">K352-L352</f>
        <v>1260</v>
      </c>
      <c r="N352" s="33" t="n">
        <f aca="false">DATE(YEAR(B352),MONTH(B352),1)</f>
        <v>46235</v>
      </c>
    </row>
    <row r="353" customFormat="false" ht="15" hidden="false" customHeight="false" outlineLevel="0" collapsed="false">
      <c r="A353" s="29" t="s">
        <v>427</v>
      </c>
      <c r="B353" s="30" t="n">
        <v>46254</v>
      </c>
      <c r="C353" s="29" t="s">
        <v>74</v>
      </c>
      <c r="D353" s="29" t="s">
        <v>91</v>
      </c>
      <c r="E353" s="29" t="n">
        <v>13</v>
      </c>
      <c r="F353" s="31" t="n">
        <v>0</v>
      </c>
      <c r="G353" s="14" t="str">
        <f aca="false">INDEX(Lists!$G$5:$G$12,MATCH(C353,Lists!$F$5:$F$12,0))</f>
        <v>South</v>
      </c>
      <c r="H353" s="14" t="str">
        <f aca="false">INDEX(Lists!$B$5:$B$12,MATCH(D353,Lists!$A$5:$A$12,0))</f>
        <v>Audio</v>
      </c>
      <c r="I353" s="32" t="n">
        <f aca="false">INDEX(Lists!$C$5:$C$12,MATCH(D353,Lists!$A$5:$A$12,0))</f>
        <v>190</v>
      </c>
      <c r="J353" s="32" t="n">
        <f aca="false">INDEX(Lists!$D$5:$D$12,MATCH(D353,Lists!$A$5:$A$12,0))</f>
        <v>105</v>
      </c>
      <c r="K353" s="32" t="n">
        <f aca="false">E353*I353*(1-F353)</f>
        <v>2470</v>
      </c>
      <c r="L353" s="32" t="n">
        <f aca="false">E353*J353</f>
        <v>1365</v>
      </c>
      <c r="M353" s="32" t="n">
        <f aca="false">K353-L353</f>
        <v>1105</v>
      </c>
      <c r="N353" s="33" t="n">
        <f aca="false">DATE(YEAR(B353),MONTH(B353),1)</f>
        <v>46235</v>
      </c>
    </row>
    <row r="354" customFormat="false" ht="15" hidden="false" customHeight="false" outlineLevel="0" collapsed="false">
      <c r="A354" s="29" t="s">
        <v>428</v>
      </c>
      <c r="B354" s="30" t="n">
        <v>46257</v>
      </c>
      <c r="C354" s="29" t="s">
        <v>74</v>
      </c>
      <c r="D354" s="29" t="s">
        <v>72</v>
      </c>
      <c r="E354" s="29" t="n">
        <v>10</v>
      </c>
      <c r="F354" s="31" t="n">
        <v>0.1</v>
      </c>
      <c r="G354" s="14" t="str">
        <f aca="false">INDEX(Lists!$G$5:$G$12,MATCH(C354,Lists!$F$5:$F$12,0))</f>
        <v>South</v>
      </c>
      <c r="H354" s="14" t="str">
        <f aca="false">INDEX(Lists!$B$5:$B$12,MATCH(D354,Lists!$A$5:$A$12,0))</f>
        <v>Accessories</v>
      </c>
      <c r="I354" s="32" t="n">
        <f aca="false">INDEX(Lists!$C$5:$C$12,MATCH(D354,Lists!$A$5:$A$12,0))</f>
        <v>80</v>
      </c>
      <c r="J354" s="32" t="n">
        <f aca="false">INDEX(Lists!$D$5:$D$12,MATCH(D354,Lists!$A$5:$A$12,0))</f>
        <v>38</v>
      </c>
      <c r="K354" s="32" t="n">
        <f aca="false">E354*I354*(1-F354)</f>
        <v>720</v>
      </c>
      <c r="L354" s="32" t="n">
        <f aca="false">E354*J354</f>
        <v>380</v>
      </c>
      <c r="M354" s="32" t="n">
        <f aca="false">K354-L354</f>
        <v>340</v>
      </c>
      <c r="N354" s="33" t="n">
        <f aca="false">DATE(YEAR(B354),MONTH(B354),1)</f>
        <v>46235</v>
      </c>
    </row>
    <row r="355" customFormat="false" ht="15" hidden="false" customHeight="false" outlineLevel="0" collapsed="false">
      <c r="A355" s="29" t="s">
        <v>429</v>
      </c>
      <c r="B355" s="30" t="n">
        <v>46258</v>
      </c>
      <c r="C355" s="29" t="s">
        <v>86</v>
      </c>
      <c r="D355" s="29" t="s">
        <v>91</v>
      </c>
      <c r="E355" s="29" t="n">
        <v>19</v>
      </c>
      <c r="F355" s="31" t="n">
        <v>0</v>
      </c>
      <c r="G355" s="14" t="str">
        <f aca="false">INDEX(Lists!$G$5:$G$12,MATCH(C355,Lists!$F$5:$F$12,0))</f>
        <v>North</v>
      </c>
      <c r="H355" s="14" t="str">
        <f aca="false">INDEX(Lists!$B$5:$B$12,MATCH(D355,Lists!$A$5:$A$12,0))</f>
        <v>Audio</v>
      </c>
      <c r="I355" s="32" t="n">
        <f aca="false">INDEX(Lists!$C$5:$C$12,MATCH(D355,Lists!$A$5:$A$12,0))</f>
        <v>190</v>
      </c>
      <c r="J355" s="32" t="n">
        <f aca="false">INDEX(Lists!$D$5:$D$12,MATCH(D355,Lists!$A$5:$A$12,0))</f>
        <v>105</v>
      </c>
      <c r="K355" s="32" t="n">
        <f aca="false">E355*I355*(1-F355)</f>
        <v>3610</v>
      </c>
      <c r="L355" s="32" t="n">
        <f aca="false">E355*J355</f>
        <v>1995</v>
      </c>
      <c r="M355" s="32" t="n">
        <f aca="false">K355-L355</f>
        <v>1615</v>
      </c>
      <c r="N355" s="33" t="n">
        <f aca="false">DATE(YEAR(B355),MONTH(B355),1)</f>
        <v>46235</v>
      </c>
    </row>
    <row r="356" customFormat="false" ht="15" hidden="false" customHeight="false" outlineLevel="0" collapsed="false">
      <c r="A356" s="29" t="s">
        <v>430</v>
      </c>
      <c r="B356" s="30" t="n">
        <v>46258</v>
      </c>
      <c r="C356" s="29" t="s">
        <v>64</v>
      </c>
      <c r="D356" s="29" t="s">
        <v>72</v>
      </c>
      <c r="E356" s="29" t="n">
        <v>15</v>
      </c>
      <c r="F356" s="31" t="n">
        <v>0</v>
      </c>
      <c r="G356" s="14" t="str">
        <f aca="false">INDEX(Lists!$G$5:$G$12,MATCH(C356,Lists!$F$5:$F$12,0))</f>
        <v>East</v>
      </c>
      <c r="H356" s="14" t="str">
        <f aca="false">INDEX(Lists!$B$5:$B$12,MATCH(D356,Lists!$A$5:$A$12,0))</f>
        <v>Accessories</v>
      </c>
      <c r="I356" s="32" t="n">
        <f aca="false">INDEX(Lists!$C$5:$C$12,MATCH(D356,Lists!$A$5:$A$12,0))</f>
        <v>80</v>
      </c>
      <c r="J356" s="32" t="n">
        <f aca="false">INDEX(Lists!$D$5:$D$12,MATCH(D356,Lists!$A$5:$A$12,0))</f>
        <v>38</v>
      </c>
      <c r="K356" s="32" t="n">
        <f aca="false">E356*I356*(1-F356)</f>
        <v>1200</v>
      </c>
      <c r="L356" s="32" t="n">
        <f aca="false">E356*J356</f>
        <v>570</v>
      </c>
      <c r="M356" s="32" t="n">
        <f aca="false">K356-L356</f>
        <v>630</v>
      </c>
      <c r="N356" s="33" t="n">
        <f aca="false">DATE(YEAR(B356),MONTH(B356),1)</f>
        <v>46235</v>
      </c>
    </row>
    <row r="357" customFormat="false" ht="15" hidden="false" customHeight="false" outlineLevel="0" collapsed="false">
      <c r="A357" s="29" t="s">
        <v>431</v>
      </c>
      <c r="B357" s="30" t="n">
        <v>46259</v>
      </c>
      <c r="C357" s="29" t="s">
        <v>83</v>
      </c>
      <c r="D357" s="29" t="s">
        <v>75</v>
      </c>
      <c r="E357" s="29" t="n">
        <v>17</v>
      </c>
      <c r="F357" s="31" t="n">
        <v>0</v>
      </c>
      <c r="G357" s="14" t="str">
        <f aca="false">INDEX(Lists!$G$5:$G$12,MATCH(C357,Lists!$F$5:$F$12,0))</f>
        <v>West</v>
      </c>
      <c r="H357" s="14" t="str">
        <f aca="false">INDEX(Lists!$B$5:$B$12,MATCH(D357,Lists!$A$5:$A$12,0))</f>
        <v>Audio</v>
      </c>
      <c r="I357" s="32" t="n">
        <f aca="false">INDEX(Lists!$C$5:$C$12,MATCH(D357,Lists!$A$5:$A$12,0))</f>
        <v>140</v>
      </c>
      <c r="J357" s="32" t="n">
        <f aca="false">INDEX(Lists!$D$5:$D$12,MATCH(D357,Lists!$A$5:$A$12,0))</f>
        <v>70</v>
      </c>
      <c r="K357" s="32" t="n">
        <f aca="false">E357*I357*(1-F357)</f>
        <v>2380</v>
      </c>
      <c r="L357" s="32" t="n">
        <f aca="false">E357*J357</f>
        <v>1190</v>
      </c>
      <c r="M357" s="32" t="n">
        <f aca="false">K357-L357</f>
        <v>1190</v>
      </c>
      <c r="N357" s="33" t="n">
        <f aca="false">DATE(YEAR(B357),MONTH(B357),1)</f>
        <v>46235</v>
      </c>
    </row>
    <row r="358" customFormat="false" ht="15" hidden="false" customHeight="false" outlineLevel="0" collapsed="false">
      <c r="A358" s="29" t="s">
        <v>432</v>
      </c>
      <c r="B358" s="30" t="n">
        <v>46259</v>
      </c>
      <c r="C358" s="29" t="s">
        <v>61</v>
      </c>
      <c r="D358" s="29" t="s">
        <v>67</v>
      </c>
      <c r="E358" s="29" t="n">
        <v>4</v>
      </c>
      <c r="F358" s="31" t="n">
        <v>0.15</v>
      </c>
      <c r="G358" s="14" t="str">
        <f aca="false">INDEX(Lists!$G$5:$G$12,MATCH(C358,Lists!$F$5:$F$12,0))</f>
        <v>South</v>
      </c>
      <c r="H358" s="14" t="str">
        <f aca="false">INDEX(Lists!$B$5:$B$12,MATCH(D358,Lists!$A$5:$A$12,0))</f>
        <v>Accessories</v>
      </c>
      <c r="I358" s="32" t="n">
        <f aca="false">INDEX(Lists!$C$5:$C$12,MATCH(D358,Lists!$A$5:$A$12,0))</f>
        <v>120</v>
      </c>
      <c r="J358" s="32" t="n">
        <f aca="false">INDEX(Lists!$D$5:$D$12,MATCH(D358,Lists!$A$5:$A$12,0))</f>
        <v>62</v>
      </c>
      <c r="K358" s="32" t="n">
        <f aca="false">E358*I358*(1-F358)</f>
        <v>408</v>
      </c>
      <c r="L358" s="32" t="n">
        <f aca="false">E358*J358</f>
        <v>248</v>
      </c>
      <c r="M358" s="32" t="n">
        <f aca="false">K358-L358</f>
        <v>160</v>
      </c>
      <c r="N358" s="33" t="n">
        <f aca="false">DATE(YEAR(B358),MONTH(B358),1)</f>
        <v>46235</v>
      </c>
    </row>
    <row r="359" customFormat="false" ht="15" hidden="false" customHeight="false" outlineLevel="0" collapsed="false">
      <c r="A359" s="29" t="s">
        <v>433</v>
      </c>
      <c r="B359" s="30" t="n">
        <v>46260</v>
      </c>
      <c r="C359" s="29" t="s">
        <v>83</v>
      </c>
      <c r="D359" s="29" t="s">
        <v>65</v>
      </c>
      <c r="E359" s="29" t="n">
        <v>5</v>
      </c>
      <c r="F359" s="31" t="n">
        <v>0.1</v>
      </c>
      <c r="G359" s="14" t="str">
        <f aca="false">INDEX(Lists!$G$5:$G$12,MATCH(C359,Lists!$F$5:$F$12,0))</f>
        <v>West</v>
      </c>
      <c r="H359" s="14" t="str">
        <f aca="false">INDEX(Lists!$B$5:$B$12,MATCH(D359,Lists!$A$5:$A$12,0))</f>
        <v>Accessories</v>
      </c>
      <c r="I359" s="32" t="n">
        <f aca="false">INDEX(Lists!$C$5:$C$12,MATCH(D359,Lists!$A$5:$A$12,0))</f>
        <v>260</v>
      </c>
      <c r="J359" s="32" t="n">
        <f aca="false">INDEX(Lists!$D$5:$D$12,MATCH(D359,Lists!$A$5:$A$12,0))</f>
        <v>150</v>
      </c>
      <c r="K359" s="32" t="n">
        <f aca="false">E359*I359*(1-F359)</f>
        <v>1170</v>
      </c>
      <c r="L359" s="32" t="n">
        <f aca="false">E359*J359</f>
        <v>750</v>
      </c>
      <c r="M359" s="32" t="n">
        <f aca="false">K359-L359</f>
        <v>420</v>
      </c>
      <c r="N359" s="33" t="n">
        <f aca="false">DATE(YEAR(B359),MONTH(B359),1)</f>
        <v>46235</v>
      </c>
    </row>
    <row r="360" customFormat="false" ht="15" hidden="false" customHeight="false" outlineLevel="0" collapsed="false">
      <c r="A360" s="29" t="s">
        <v>434</v>
      </c>
      <c r="B360" s="30" t="n">
        <v>46260</v>
      </c>
      <c r="C360" s="29" t="s">
        <v>86</v>
      </c>
      <c r="D360" s="29" t="s">
        <v>72</v>
      </c>
      <c r="E360" s="29" t="n">
        <v>11</v>
      </c>
      <c r="F360" s="31" t="n">
        <v>0.1</v>
      </c>
      <c r="G360" s="14" t="str">
        <f aca="false">INDEX(Lists!$G$5:$G$12,MATCH(C360,Lists!$F$5:$F$12,0))</f>
        <v>North</v>
      </c>
      <c r="H360" s="14" t="str">
        <f aca="false">INDEX(Lists!$B$5:$B$12,MATCH(D360,Lists!$A$5:$A$12,0))</f>
        <v>Accessories</v>
      </c>
      <c r="I360" s="32" t="n">
        <f aca="false">INDEX(Lists!$C$5:$C$12,MATCH(D360,Lists!$A$5:$A$12,0))</f>
        <v>80</v>
      </c>
      <c r="J360" s="32" t="n">
        <f aca="false">INDEX(Lists!$D$5:$D$12,MATCH(D360,Lists!$A$5:$A$12,0))</f>
        <v>38</v>
      </c>
      <c r="K360" s="32" t="n">
        <f aca="false">E360*I360*(1-F360)</f>
        <v>792</v>
      </c>
      <c r="L360" s="32" t="n">
        <f aca="false">E360*J360</f>
        <v>418</v>
      </c>
      <c r="M360" s="32" t="n">
        <f aca="false">K360-L360</f>
        <v>374</v>
      </c>
      <c r="N360" s="33" t="n">
        <f aca="false">DATE(YEAR(B360),MONTH(B360),1)</f>
        <v>46235</v>
      </c>
    </row>
    <row r="361" customFormat="false" ht="15" hidden="false" customHeight="false" outlineLevel="0" collapsed="false">
      <c r="A361" s="29" t="s">
        <v>435</v>
      </c>
      <c r="B361" s="30" t="n">
        <v>46261</v>
      </c>
      <c r="C361" s="29" t="s">
        <v>61</v>
      </c>
      <c r="D361" s="29" t="s">
        <v>72</v>
      </c>
      <c r="E361" s="29" t="n">
        <v>20</v>
      </c>
      <c r="F361" s="31" t="n">
        <v>0</v>
      </c>
      <c r="G361" s="14" t="str">
        <f aca="false">INDEX(Lists!$G$5:$G$12,MATCH(C361,Lists!$F$5:$F$12,0))</f>
        <v>South</v>
      </c>
      <c r="H361" s="14" t="str">
        <f aca="false">INDEX(Lists!$B$5:$B$12,MATCH(D361,Lists!$A$5:$A$12,0))</f>
        <v>Accessories</v>
      </c>
      <c r="I361" s="32" t="n">
        <f aca="false">INDEX(Lists!$C$5:$C$12,MATCH(D361,Lists!$A$5:$A$12,0))</f>
        <v>80</v>
      </c>
      <c r="J361" s="32" t="n">
        <f aca="false">INDEX(Lists!$D$5:$D$12,MATCH(D361,Lists!$A$5:$A$12,0))</f>
        <v>38</v>
      </c>
      <c r="K361" s="32" t="n">
        <f aca="false">E361*I361*(1-F361)</f>
        <v>1600</v>
      </c>
      <c r="L361" s="32" t="n">
        <f aca="false">E361*J361</f>
        <v>760</v>
      </c>
      <c r="M361" s="32" t="n">
        <f aca="false">K361-L361</f>
        <v>840</v>
      </c>
      <c r="N361" s="33" t="n">
        <f aca="false">DATE(YEAR(B361),MONTH(B361),1)</f>
        <v>46235</v>
      </c>
    </row>
    <row r="362" customFormat="false" ht="15" hidden="false" customHeight="false" outlineLevel="0" collapsed="false">
      <c r="A362" s="29" t="s">
        <v>436</v>
      </c>
      <c r="B362" s="30" t="n">
        <v>46262</v>
      </c>
      <c r="C362" s="29" t="s">
        <v>93</v>
      </c>
      <c r="D362" s="29" t="s">
        <v>91</v>
      </c>
      <c r="E362" s="29" t="n">
        <v>14</v>
      </c>
      <c r="F362" s="31" t="n">
        <v>0.15</v>
      </c>
      <c r="G362" s="14" t="str">
        <f aca="false">INDEX(Lists!$G$5:$G$12,MATCH(C362,Lists!$F$5:$F$12,0))</f>
        <v>West</v>
      </c>
      <c r="H362" s="14" t="str">
        <f aca="false">INDEX(Lists!$B$5:$B$12,MATCH(D362,Lists!$A$5:$A$12,0))</f>
        <v>Audio</v>
      </c>
      <c r="I362" s="32" t="n">
        <f aca="false">INDEX(Lists!$C$5:$C$12,MATCH(D362,Lists!$A$5:$A$12,0))</f>
        <v>190</v>
      </c>
      <c r="J362" s="32" t="n">
        <f aca="false">INDEX(Lists!$D$5:$D$12,MATCH(D362,Lists!$A$5:$A$12,0))</f>
        <v>105</v>
      </c>
      <c r="K362" s="32" t="n">
        <f aca="false">E362*I362*(1-F362)</f>
        <v>2261</v>
      </c>
      <c r="L362" s="32" t="n">
        <f aca="false">E362*J362</f>
        <v>1470</v>
      </c>
      <c r="M362" s="32" t="n">
        <f aca="false">K362-L362</f>
        <v>791</v>
      </c>
      <c r="N362" s="33" t="n">
        <f aca="false">DATE(YEAR(B362),MONTH(B362),1)</f>
        <v>46235</v>
      </c>
    </row>
    <row r="363" customFormat="false" ht="15" hidden="false" customHeight="false" outlineLevel="0" collapsed="false">
      <c r="A363" s="29" t="s">
        <v>437</v>
      </c>
      <c r="B363" s="30" t="n">
        <v>46263</v>
      </c>
      <c r="C363" s="29" t="s">
        <v>88</v>
      </c>
      <c r="D363" s="29" t="s">
        <v>67</v>
      </c>
      <c r="E363" s="29" t="n">
        <v>4</v>
      </c>
      <c r="F363" s="31" t="n">
        <v>0.05</v>
      </c>
      <c r="G363" s="14" t="str">
        <f aca="false">INDEX(Lists!$G$5:$G$12,MATCH(C363,Lists!$F$5:$F$12,0))</f>
        <v>North</v>
      </c>
      <c r="H363" s="14" t="str">
        <f aca="false">INDEX(Lists!$B$5:$B$12,MATCH(D363,Lists!$A$5:$A$12,0))</f>
        <v>Accessories</v>
      </c>
      <c r="I363" s="32" t="n">
        <f aca="false">INDEX(Lists!$C$5:$C$12,MATCH(D363,Lists!$A$5:$A$12,0))</f>
        <v>120</v>
      </c>
      <c r="J363" s="32" t="n">
        <f aca="false">INDEX(Lists!$D$5:$D$12,MATCH(D363,Lists!$A$5:$A$12,0))</f>
        <v>62</v>
      </c>
      <c r="K363" s="32" t="n">
        <f aca="false">E363*I363*(1-F363)</f>
        <v>456</v>
      </c>
      <c r="L363" s="32" t="n">
        <f aca="false">E363*J363</f>
        <v>248</v>
      </c>
      <c r="M363" s="32" t="n">
        <f aca="false">K363-L363</f>
        <v>208</v>
      </c>
      <c r="N363" s="33" t="n">
        <f aca="false">DATE(YEAR(B363),MONTH(B363),1)</f>
        <v>46235</v>
      </c>
    </row>
    <row r="364" customFormat="false" ht="15" hidden="false" customHeight="false" outlineLevel="0" collapsed="false">
      <c r="A364" s="29" t="s">
        <v>438</v>
      </c>
      <c r="B364" s="30" t="n">
        <v>46263</v>
      </c>
      <c r="C364" s="29" t="s">
        <v>74</v>
      </c>
      <c r="D364" s="29" t="s">
        <v>70</v>
      </c>
      <c r="E364" s="29" t="n">
        <v>6</v>
      </c>
      <c r="F364" s="31" t="n">
        <v>0.05</v>
      </c>
      <c r="G364" s="14" t="str">
        <f aca="false">INDEX(Lists!$G$5:$G$12,MATCH(C364,Lists!$F$5:$F$12,0))</f>
        <v>South</v>
      </c>
      <c r="H364" s="14" t="str">
        <f aca="false">INDEX(Lists!$B$5:$B$12,MATCH(D364,Lists!$A$5:$A$12,0))</f>
        <v>Displays</v>
      </c>
      <c r="I364" s="32" t="n">
        <f aca="false">INDEX(Lists!$C$5:$C$12,MATCH(D364,Lists!$A$5:$A$12,0))</f>
        <v>520</v>
      </c>
      <c r="J364" s="32" t="n">
        <f aca="false">INDEX(Lists!$D$5:$D$12,MATCH(D364,Lists!$A$5:$A$12,0))</f>
        <v>340</v>
      </c>
      <c r="K364" s="32" t="n">
        <f aca="false">E364*I364*(1-F364)</f>
        <v>2964</v>
      </c>
      <c r="L364" s="32" t="n">
        <f aca="false">E364*J364</f>
        <v>2040</v>
      </c>
      <c r="M364" s="32" t="n">
        <f aca="false">K364-L364</f>
        <v>924</v>
      </c>
      <c r="N364" s="33" t="n">
        <f aca="false">DATE(YEAR(B364),MONTH(B364),1)</f>
        <v>46235</v>
      </c>
    </row>
    <row r="365" customFormat="false" ht="15" hidden="false" customHeight="false" outlineLevel="0" collapsed="false">
      <c r="A365" s="29" t="s">
        <v>439</v>
      </c>
      <c r="B365" s="30" t="n">
        <v>46264</v>
      </c>
      <c r="C365" s="29" t="s">
        <v>86</v>
      </c>
      <c r="D365" s="29" t="s">
        <v>75</v>
      </c>
      <c r="E365" s="29" t="n">
        <v>13</v>
      </c>
      <c r="F365" s="31" t="n">
        <v>0</v>
      </c>
      <c r="G365" s="14" t="str">
        <f aca="false">INDEX(Lists!$G$5:$G$12,MATCH(C365,Lists!$F$5:$F$12,0))</f>
        <v>North</v>
      </c>
      <c r="H365" s="14" t="str">
        <f aca="false">INDEX(Lists!$B$5:$B$12,MATCH(D365,Lists!$A$5:$A$12,0))</f>
        <v>Audio</v>
      </c>
      <c r="I365" s="32" t="n">
        <f aca="false">INDEX(Lists!$C$5:$C$12,MATCH(D365,Lists!$A$5:$A$12,0))</f>
        <v>140</v>
      </c>
      <c r="J365" s="32" t="n">
        <f aca="false">INDEX(Lists!$D$5:$D$12,MATCH(D365,Lists!$A$5:$A$12,0))</f>
        <v>70</v>
      </c>
      <c r="K365" s="32" t="n">
        <f aca="false">E365*I365*(1-F365)</f>
        <v>1820</v>
      </c>
      <c r="L365" s="32" t="n">
        <f aca="false">E365*J365</f>
        <v>910</v>
      </c>
      <c r="M365" s="32" t="n">
        <f aca="false">K365-L365</f>
        <v>910</v>
      </c>
      <c r="N365" s="33" t="n">
        <f aca="false">DATE(YEAR(B365),MONTH(B365),1)</f>
        <v>46235</v>
      </c>
    </row>
    <row r="366" customFormat="false" ht="15" hidden="false" customHeight="false" outlineLevel="0" collapsed="false">
      <c r="A366" s="29" t="s">
        <v>440</v>
      </c>
      <c r="B366" s="30" t="n">
        <v>46265</v>
      </c>
      <c r="C366" s="29" t="s">
        <v>69</v>
      </c>
      <c r="D366" s="29" t="s">
        <v>70</v>
      </c>
      <c r="E366" s="29" t="n">
        <v>5</v>
      </c>
      <c r="F366" s="31" t="n">
        <v>0</v>
      </c>
      <c r="G366" s="14" t="str">
        <f aca="false">INDEX(Lists!$G$5:$G$12,MATCH(C366,Lists!$F$5:$F$12,0))</f>
        <v>East</v>
      </c>
      <c r="H366" s="14" t="str">
        <f aca="false">INDEX(Lists!$B$5:$B$12,MATCH(D366,Lists!$A$5:$A$12,0))</f>
        <v>Displays</v>
      </c>
      <c r="I366" s="32" t="n">
        <f aca="false">INDEX(Lists!$C$5:$C$12,MATCH(D366,Lists!$A$5:$A$12,0))</f>
        <v>520</v>
      </c>
      <c r="J366" s="32" t="n">
        <f aca="false">INDEX(Lists!$D$5:$D$12,MATCH(D366,Lists!$A$5:$A$12,0))</f>
        <v>340</v>
      </c>
      <c r="K366" s="32" t="n">
        <f aca="false">E366*I366*(1-F366)</f>
        <v>2600</v>
      </c>
      <c r="L366" s="32" t="n">
        <f aca="false">E366*J366</f>
        <v>1700</v>
      </c>
      <c r="M366" s="32" t="n">
        <f aca="false">K366-L366</f>
        <v>900</v>
      </c>
      <c r="N366" s="33" t="n">
        <f aca="false">DATE(YEAR(B366),MONTH(B366),1)</f>
        <v>46235</v>
      </c>
    </row>
    <row r="367" customFormat="false" ht="15" hidden="false" customHeight="false" outlineLevel="0" collapsed="false">
      <c r="A367" s="29" t="s">
        <v>441</v>
      </c>
      <c r="B367" s="30" t="n">
        <v>46266</v>
      </c>
      <c r="C367" s="29" t="s">
        <v>86</v>
      </c>
      <c r="D367" s="29" t="s">
        <v>67</v>
      </c>
      <c r="E367" s="29" t="n">
        <v>12</v>
      </c>
      <c r="F367" s="31" t="n">
        <v>0</v>
      </c>
      <c r="G367" s="14" t="str">
        <f aca="false">INDEX(Lists!$G$5:$G$12,MATCH(C367,Lists!$F$5:$F$12,0))</f>
        <v>North</v>
      </c>
      <c r="H367" s="14" t="str">
        <f aca="false">INDEX(Lists!$B$5:$B$12,MATCH(D367,Lists!$A$5:$A$12,0))</f>
        <v>Accessories</v>
      </c>
      <c r="I367" s="32" t="n">
        <f aca="false">INDEX(Lists!$C$5:$C$12,MATCH(D367,Lists!$A$5:$A$12,0))</f>
        <v>120</v>
      </c>
      <c r="J367" s="32" t="n">
        <f aca="false">INDEX(Lists!$D$5:$D$12,MATCH(D367,Lists!$A$5:$A$12,0))</f>
        <v>62</v>
      </c>
      <c r="K367" s="32" t="n">
        <f aca="false">E367*I367*(1-F367)</f>
        <v>1440</v>
      </c>
      <c r="L367" s="32" t="n">
        <f aca="false">E367*J367</f>
        <v>744</v>
      </c>
      <c r="M367" s="32" t="n">
        <f aca="false">K367-L367</f>
        <v>696</v>
      </c>
      <c r="N367" s="33" t="n">
        <f aca="false">DATE(YEAR(B367),MONTH(B367),1)</f>
        <v>46266</v>
      </c>
    </row>
    <row r="368" customFormat="false" ht="15" hidden="false" customHeight="false" outlineLevel="0" collapsed="false">
      <c r="A368" s="29" t="s">
        <v>442</v>
      </c>
      <c r="B368" s="30" t="n">
        <v>46267</v>
      </c>
      <c r="C368" s="29" t="s">
        <v>86</v>
      </c>
      <c r="D368" s="29" t="s">
        <v>72</v>
      </c>
      <c r="E368" s="29" t="n">
        <v>4</v>
      </c>
      <c r="F368" s="31" t="n">
        <v>0.1</v>
      </c>
      <c r="G368" s="14" t="str">
        <f aca="false">INDEX(Lists!$G$5:$G$12,MATCH(C368,Lists!$F$5:$F$12,0))</f>
        <v>North</v>
      </c>
      <c r="H368" s="14" t="str">
        <f aca="false">INDEX(Lists!$B$5:$B$12,MATCH(D368,Lists!$A$5:$A$12,0))</f>
        <v>Accessories</v>
      </c>
      <c r="I368" s="32" t="n">
        <f aca="false">INDEX(Lists!$C$5:$C$12,MATCH(D368,Lists!$A$5:$A$12,0))</f>
        <v>80</v>
      </c>
      <c r="J368" s="32" t="n">
        <f aca="false">INDEX(Lists!$D$5:$D$12,MATCH(D368,Lists!$A$5:$A$12,0))</f>
        <v>38</v>
      </c>
      <c r="K368" s="32" t="n">
        <f aca="false">E368*I368*(1-F368)</f>
        <v>288</v>
      </c>
      <c r="L368" s="32" t="n">
        <f aca="false">E368*J368</f>
        <v>152</v>
      </c>
      <c r="M368" s="32" t="n">
        <f aca="false">K368-L368</f>
        <v>136</v>
      </c>
      <c r="N368" s="33" t="n">
        <f aca="false">DATE(YEAR(B368),MONTH(B368),1)</f>
        <v>46266</v>
      </c>
    </row>
    <row r="369" customFormat="false" ht="15" hidden="false" customHeight="false" outlineLevel="0" collapsed="false">
      <c r="A369" s="29" t="s">
        <v>443</v>
      </c>
      <c r="B369" s="30" t="n">
        <v>46267</v>
      </c>
      <c r="C369" s="29" t="s">
        <v>74</v>
      </c>
      <c r="D369" s="29" t="s">
        <v>67</v>
      </c>
      <c r="E369" s="29" t="n">
        <v>17</v>
      </c>
      <c r="F369" s="31" t="n">
        <v>0.05</v>
      </c>
      <c r="G369" s="14" t="str">
        <f aca="false">INDEX(Lists!$G$5:$G$12,MATCH(C369,Lists!$F$5:$F$12,0))</f>
        <v>South</v>
      </c>
      <c r="H369" s="14" t="str">
        <f aca="false">INDEX(Lists!$B$5:$B$12,MATCH(D369,Lists!$A$5:$A$12,0))</f>
        <v>Accessories</v>
      </c>
      <c r="I369" s="32" t="n">
        <f aca="false">INDEX(Lists!$C$5:$C$12,MATCH(D369,Lists!$A$5:$A$12,0))</f>
        <v>120</v>
      </c>
      <c r="J369" s="32" t="n">
        <f aca="false">INDEX(Lists!$D$5:$D$12,MATCH(D369,Lists!$A$5:$A$12,0))</f>
        <v>62</v>
      </c>
      <c r="K369" s="32" t="n">
        <f aca="false">E369*I369*(1-F369)</f>
        <v>1938</v>
      </c>
      <c r="L369" s="32" t="n">
        <f aca="false">E369*J369</f>
        <v>1054</v>
      </c>
      <c r="M369" s="32" t="n">
        <f aca="false">K369-L369</f>
        <v>884</v>
      </c>
      <c r="N369" s="33" t="n">
        <f aca="false">DATE(YEAR(B369),MONTH(B369),1)</f>
        <v>46266</v>
      </c>
    </row>
    <row r="370" customFormat="false" ht="15" hidden="false" customHeight="false" outlineLevel="0" collapsed="false">
      <c r="A370" s="29" t="s">
        <v>444</v>
      </c>
      <c r="B370" s="30" t="n">
        <v>46268</v>
      </c>
      <c r="C370" s="29" t="s">
        <v>69</v>
      </c>
      <c r="D370" s="29" t="s">
        <v>75</v>
      </c>
      <c r="E370" s="29" t="n">
        <v>4</v>
      </c>
      <c r="F370" s="31" t="n">
        <v>0.1</v>
      </c>
      <c r="G370" s="14" t="str">
        <f aca="false">INDEX(Lists!$G$5:$G$12,MATCH(C370,Lists!$F$5:$F$12,0))</f>
        <v>East</v>
      </c>
      <c r="H370" s="14" t="str">
        <f aca="false">INDEX(Lists!$B$5:$B$12,MATCH(D370,Lists!$A$5:$A$12,0))</f>
        <v>Audio</v>
      </c>
      <c r="I370" s="32" t="n">
        <f aca="false">INDEX(Lists!$C$5:$C$12,MATCH(D370,Lists!$A$5:$A$12,0))</f>
        <v>140</v>
      </c>
      <c r="J370" s="32" t="n">
        <f aca="false">INDEX(Lists!$D$5:$D$12,MATCH(D370,Lists!$A$5:$A$12,0))</f>
        <v>70</v>
      </c>
      <c r="K370" s="32" t="n">
        <f aca="false">E370*I370*(1-F370)</f>
        <v>504</v>
      </c>
      <c r="L370" s="32" t="n">
        <f aca="false">E370*J370</f>
        <v>280</v>
      </c>
      <c r="M370" s="32" t="n">
        <f aca="false">K370-L370</f>
        <v>224</v>
      </c>
      <c r="N370" s="33" t="n">
        <f aca="false">DATE(YEAR(B370),MONTH(B370),1)</f>
        <v>46266</v>
      </c>
    </row>
    <row r="371" customFormat="false" ht="15" hidden="false" customHeight="false" outlineLevel="0" collapsed="false">
      <c r="A371" s="29" t="s">
        <v>445</v>
      </c>
      <c r="B371" s="30" t="n">
        <v>46268</v>
      </c>
      <c r="C371" s="29" t="s">
        <v>69</v>
      </c>
      <c r="D371" s="29" t="s">
        <v>72</v>
      </c>
      <c r="E371" s="29" t="n">
        <v>20</v>
      </c>
      <c r="F371" s="31" t="n">
        <v>0</v>
      </c>
      <c r="G371" s="14" t="str">
        <f aca="false">INDEX(Lists!$G$5:$G$12,MATCH(C371,Lists!$F$5:$F$12,0))</f>
        <v>East</v>
      </c>
      <c r="H371" s="14" t="str">
        <f aca="false">INDEX(Lists!$B$5:$B$12,MATCH(D371,Lists!$A$5:$A$12,0))</f>
        <v>Accessories</v>
      </c>
      <c r="I371" s="32" t="n">
        <f aca="false">INDEX(Lists!$C$5:$C$12,MATCH(D371,Lists!$A$5:$A$12,0))</f>
        <v>80</v>
      </c>
      <c r="J371" s="32" t="n">
        <f aca="false">INDEX(Lists!$D$5:$D$12,MATCH(D371,Lists!$A$5:$A$12,0))</f>
        <v>38</v>
      </c>
      <c r="K371" s="32" t="n">
        <f aca="false">E371*I371*(1-F371)</f>
        <v>1600</v>
      </c>
      <c r="L371" s="32" t="n">
        <f aca="false">E371*J371</f>
        <v>760</v>
      </c>
      <c r="M371" s="32" t="n">
        <f aca="false">K371-L371</f>
        <v>840</v>
      </c>
      <c r="N371" s="33" t="n">
        <f aca="false">DATE(YEAR(B371),MONTH(B371),1)</f>
        <v>46266</v>
      </c>
    </row>
    <row r="372" customFormat="false" ht="15" hidden="false" customHeight="false" outlineLevel="0" collapsed="false">
      <c r="A372" s="29" t="s">
        <v>446</v>
      </c>
      <c r="B372" s="30" t="n">
        <v>46269</v>
      </c>
      <c r="C372" s="29" t="s">
        <v>74</v>
      </c>
      <c r="D372" s="29" t="s">
        <v>70</v>
      </c>
      <c r="E372" s="29" t="n">
        <v>3</v>
      </c>
      <c r="F372" s="31" t="n">
        <v>0.05</v>
      </c>
      <c r="G372" s="14" t="str">
        <f aca="false">INDEX(Lists!$G$5:$G$12,MATCH(C372,Lists!$F$5:$F$12,0))</f>
        <v>South</v>
      </c>
      <c r="H372" s="14" t="str">
        <f aca="false">INDEX(Lists!$B$5:$B$12,MATCH(D372,Lists!$A$5:$A$12,0))</f>
        <v>Displays</v>
      </c>
      <c r="I372" s="32" t="n">
        <f aca="false">INDEX(Lists!$C$5:$C$12,MATCH(D372,Lists!$A$5:$A$12,0))</f>
        <v>520</v>
      </c>
      <c r="J372" s="32" t="n">
        <f aca="false">INDEX(Lists!$D$5:$D$12,MATCH(D372,Lists!$A$5:$A$12,0))</f>
        <v>340</v>
      </c>
      <c r="K372" s="32" t="n">
        <f aca="false">E372*I372*(1-F372)</f>
        <v>1482</v>
      </c>
      <c r="L372" s="32" t="n">
        <f aca="false">E372*J372</f>
        <v>1020</v>
      </c>
      <c r="M372" s="32" t="n">
        <f aca="false">K372-L372</f>
        <v>462</v>
      </c>
      <c r="N372" s="33" t="n">
        <f aca="false">DATE(YEAR(B372),MONTH(B372),1)</f>
        <v>46266</v>
      </c>
    </row>
    <row r="373" customFormat="false" ht="15" hidden="false" customHeight="false" outlineLevel="0" collapsed="false">
      <c r="A373" s="29" t="s">
        <v>447</v>
      </c>
      <c r="B373" s="30" t="n">
        <v>46269</v>
      </c>
      <c r="C373" s="29" t="s">
        <v>64</v>
      </c>
      <c r="D373" s="29" t="s">
        <v>67</v>
      </c>
      <c r="E373" s="29" t="n">
        <v>18</v>
      </c>
      <c r="F373" s="31" t="n">
        <v>0.05</v>
      </c>
      <c r="G373" s="14" t="str">
        <f aca="false">INDEX(Lists!$G$5:$G$12,MATCH(C373,Lists!$F$5:$F$12,0))</f>
        <v>East</v>
      </c>
      <c r="H373" s="14" t="str">
        <f aca="false">INDEX(Lists!$B$5:$B$12,MATCH(D373,Lists!$A$5:$A$12,0))</f>
        <v>Accessories</v>
      </c>
      <c r="I373" s="32" t="n">
        <f aca="false">INDEX(Lists!$C$5:$C$12,MATCH(D373,Lists!$A$5:$A$12,0))</f>
        <v>120</v>
      </c>
      <c r="J373" s="32" t="n">
        <f aca="false">INDEX(Lists!$D$5:$D$12,MATCH(D373,Lists!$A$5:$A$12,0))</f>
        <v>62</v>
      </c>
      <c r="K373" s="32" t="n">
        <f aca="false">E373*I373*(1-F373)</f>
        <v>2052</v>
      </c>
      <c r="L373" s="32" t="n">
        <f aca="false">E373*J373</f>
        <v>1116</v>
      </c>
      <c r="M373" s="32" t="n">
        <f aca="false">K373-L373</f>
        <v>936</v>
      </c>
      <c r="N373" s="33" t="n">
        <f aca="false">DATE(YEAR(B373),MONTH(B373),1)</f>
        <v>46266</v>
      </c>
    </row>
    <row r="374" customFormat="false" ht="15" hidden="false" customHeight="false" outlineLevel="0" collapsed="false">
      <c r="A374" s="29" t="s">
        <v>448</v>
      </c>
      <c r="B374" s="30" t="n">
        <v>46271</v>
      </c>
      <c r="C374" s="29" t="s">
        <v>61</v>
      </c>
      <c r="D374" s="29" t="s">
        <v>75</v>
      </c>
      <c r="E374" s="29" t="n">
        <v>8</v>
      </c>
      <c r="F374" s="31" t="n">
        <v>0.15</v>
      </c>
      <c r="G374" s="14" t="str">
        <f aca="false">INDEX(Lists!$G$5:$G$12,MATCH(C374,Lists!$F$5:$F$12,0))</f>
        <v>South</v>
      </c>
      <c r="H374" s="14" t="str">
        <f aca="false">INDEX(Lists!$B$5:$B$12,MATCH(D374,Lists!$A$5:$A$12,0))</f>
        <v>Audio</v>
      </c>
      <c r="I374" s="32" t="n">
        <f aca="false">INDEX(Lists!$C$5:$C$12,MATCH(D374,Lists!$A$5:$A$12,0))</f>
        <v>140</v>
      </c>
      <c r="J374" s="32" t="n">
        <f aca="false">INDEX(Lists!$D$5:$D$12,MATCH(D374,Lists!$A$5:$A$12,0))</f>
        <v>70</v>
      </c>
      <c r="K374" s="32" t="n">
        <f aca="false">E374*I374*(1-F374)</f>
        <v>952</v>
      </c>
      <c r="L374" s="32" t="n">
        <f aca="false">E374*J374</f>
        <v>560</v>
      </c>
      <c r="M374" s="32" t="n">
        <f aca="false">K374-L374</f>
        <v>392</v>
      </c>
      <c r="N374" s="33" t="n">
        <f aca="false">DATE(YEAR(B374),MONTH(B374),1)</f>
        <v>46266</v>
      </c>
    </row>
    <row r="375" customFormat="false" ht="15" hidden="false" customHeight="false" outlineLevel="0" collapsed="false">
      <c r="A375" s="29" t="s">
        <v>449</v>
      </c>
      <c r="B375" s="30" t="n">
        <v>46272</v>
      </c>
      <c r="C375" s="29" t="s">
        <v>88</v>
      </c>
      <c r="D375" s="29" t="s">
        <v>72</v>
      </c>
      <c r="E375" s="29" t="n">
        <v>15</v>
      </c>
      <c r="F375" s="31" t="n">
        <v>0.05</v>
      </c>
      <c r="G375" s="14" t="str">
        <f aca="false">INDEX(Lists!$G$5:$G$12,MATCH(C375,Lists!$F$5:$F$12,0))</f>
        <v>North</v>
      </c>
      <c r="H375" s="14" t="str">
        <f aca="false">INDEX(Lists!$B$5:$B$12,MATCH(D375,Lists!$A$5:$A$12,0))</f>
        <v>Accessories</v>
      </c>
      <c r="I375" s="32" t="n">
        <f aca="false">INDEX(Lists!$C$5:$C$12,MATCH(D375,Lists!$A$5:$A$12,0))</f>
        <v>80</v>
      </c>
      <c r="J375" s="32" t="n">
        <f aca="false">INDEX(Lists!$D$5:$D$12,MATCH(D375,Lists!$A$5:$A$12,0))</f>
        <v>38</v>
      </c>
      <c r="K375" s="32" t="n">
        <f aca="false">E375*I375*(1-F375)</f>
        <v>1140</v>
      </c>
      <c r="L375" s="32" t="n">
        <f aca="false">E375*J375</f>
        <v>570</v>
      </c>
      <c r="M375" s="32" t="n">
        <f aca="false">K375-L375</f>
        <v>570</v>
      </c>
      <c r="N375" s="33" t="n">
        <f aca="false">DATE(YEAR(B375),MONTH(B375),1)</f>
        <v>46266</v>
      </c>
    </row>
    <row r="376" customFormat="false" ht="15" hidden="false" customHeight="false" outlineLevel="0" collapsed="false">
      <c r="A376" s="29" t="s">
        <v>450</v>
      </c>
      <c r="B376" s="30" t="n">
        <v>46272</v>
      </c>
      <c r="C376" s="29" t="s">
        <v>64</v>
      </c>
      <c r="D376" s="29" t="s">
        <v>67</v>
      </c>
      <c r="E376" s="29" t="n">
        <v>19</v>
      </c>
      <c r="F376" s="31" t="n">
        <v>0</v>
      </c>
      <c r="G376" s="14" t="str">
        <f aca="false">INDEX(Lists!$G$5:$G$12,MATCH(C376,Lists!$F$5:$F$12,0))</f>
        <v>East</v>
      </c>
      <c r="H376" s="14" t="str">
        <f aca="false">INDEX(Lists!$B$5:$B$12,MATCH(D376,Lists!$A$5:$A$12,0))</f>
        <v>Accessories</v>
      </c>
      <c r="I376" s="32" t="n">
        <f aca="false">INDEX(Lists!$C$5:$C$12,MATCH(D376,Lists!$A$5:$A$12,0))</f>
        <v>120</v>
      </c>
      <c r="J376" s="32" t="n">
        <f aca="false">INDEX(Lists!$D$5:$D$12,MATCH(D376,Lists!$A$5:$A$12,0))</f>
        <v>62</v>
      </c>
      <c r="K376" s="32" t="n">
        <f aca="false">E376*I376*(1-F376)</f>
        <v>2280</v>
      </c>
      <c r="L376" s="32" t="n">
        <f aca="false">E376*J376</f>
        <v>1178</v>
      </c>
      <c r="M376" s="32" t="n">
        <f aca="false">K376-L376</f>
        <v>1102</v>
      </c>
      <c r="N376" s="33" t="n">
        <f aca="false">DATE(YEAR(B376),MONTH(B376),1)</f>
        <v>46266</v>
      </c>
    </row>
    <row r="377" customFormat="false" ht="15" hidden="false" customHeight="false" outlineLevel="0" collapsed="false">
      <c r="A377" s="29" t="s">
        <v>451</v>
      </c>
      <c r="B377" s="30" t="n">
        <v>46273</v>
      </c>
      <c r="C377" s="29" t="s">
        <v>61</v>
      </c>
      <c r="D377" s="29" t="s">
        <v>62</v>
      </c>
      <c r="E377" s="29" t="n">
        <v>2</v>
      </c>
      <c r="F377" s="31" t="n">
        <v>0.05</v>
      </c>
      <c r="G377" s="14" t="str">
        <f aca="false">INDEX(Lists!$G$5:$G$12,MATCH(C377,Lists!$F$5:$F$12,0))</f>
        <v>South</v>
      </c>
      <c r="H377" s="14" t="str">
        <f aca="false">INDEX(Lists!$B$5:$B$12,MATCH(D377,Lists!$A$5:$A$12,0))</f>
        <v>Computers</v>
      </c>
      <c r="I377" s="32" t="n">
        <f aca="false">INDEX(Lists!$C$5:$C$12,MATCH(D377,Lists!$A$5:$A$12,0))</f>
        <v>1600</v>
      </c>
      <c r="J377" s="32" t="n">
        <f aca="false">INDEX(Lists!$D$5:$D$12,MATCH(D377,Lists!$A$5:$A$12,0))</f>
        <v>1100</v>
      </c>
      <c r="K377" s="32" t="n">
        <f aca="false">E377*I377*(1-F377)</f>
        <v>3040</v>
      </c>
      <c r="L377" s="32" t="n">
        <f aca="false">E377*J377</f>
        <v>2200</v>
      </c>
      <c r="M377" s="32" t="n">
        <f aca="false">K377-L377</f>
        <v>840</v>
      </c>
      <c r="N377" s="33" t="n">
        <f aca="false">DATE(YEAR(B377),MONTH(B377),1)</f>
        <v>46266</v>
      </c>
    </row>
    <row r="378" customFormat="false" ht="15" hidden="false" customHeight="false" outlineLevel="0" collapsed="false">
      <c r="A378" s="29" t="s">
        <v>452</v>
      </c>
      <c r="B378" s="30" t="n">
        <v>46274</v>
      </c>
      <c r="C378" s="29" t="s">
        <v>83</v>
      </c>
      <c r="D378" s="29" t="s">
        <v>62</v>
      </c>
      <c r="E378" s="29" t="n">
        <v>2</v>
      </c>
      <c r="F378" s="31" t="n">
        <v>0</v>
      </c>
      <c r="G378" s="14" t="str">
        <f aca="false">INDEX(Lists!$G$5:$G$12,MATCH(C378,Lists!$F$5:$F$12,0))</f>
        <v>West</v>
      </c>
      <c r="H378" s="14" t="str">
        <f aca="false">INDEX(Lists!$B$5:$B$12,MATCH(D378,Lists!$A$5:$A$12,0))</f>
        <v>Computers</v>
      </c>
      <c r="I378" s="32" t="n">
        <f aca="false">INDEX(Lists!$C$5:$C$12,MATCH(D378,Lists!$A$5:$A$12,0))</f>
        <v>1600</v>
      </c>
      <c r="J378" s="32" t="n">
        <f aca="false">INDEX(Lists!$D$5:$D$12,MATCH(D378,Lists!$A$5:$A$12,0))</f>
        <v>1100</v>
      </c>
      <c r="K378" s="32" t="n">
        <f aca="false">E378*I378*(1-F378)</f>
        <v>3200</v>
      </c>
      <c r="L378" s="32" t="n">
        <f aca="false">E378*J378</f>
        <v>2200</v>
      </c>
      <c r="M378" s="32" t="n">
        <f aca="false">K378-L378</f>
        <v>1000</v>
      </c>
      <c r="N378" s="33" t="n">
        <f aca="false">DATE(YEAR(B378),MONTH(B378),1)</f>
        <v>46266</v>
      </c>
    </row>
    <row r="379" customFormat="false" ht="15" hidden="false" customHeight="false" outlineLevel="0" collapsed="false">
      <c r="A379" s="29" t="s">
        <v>453</v>
      </c>
      <c r="B379" s="30" t="n">
        <v>46274</v>
      </c>
      <c r="C379" s="29" t="s">
        <v>83</v>
      </c>
      <c r="D379" s="29" t="s">
        <v>72</v>
      </c>
      <c r="E379" s="29" t="n">
        <v>17</v>
      </c>
      <c r="F379" s="31" t="n">
        <v>0</v>
      </c>
      <c r="G379" s="14" t="str">
        <f aca="false">INDEX(Lists!$G$5:$G$12,MATCH(C379,Lists!$F$5:$F$12,0))</f>
        <v>West</v>
      </c>
      <c r="H379" s="14" t="str">
        <f aca="false">INDEX(Lists!$B$5:$B$12,MATCH(D379,Lists!$A$5:$A$12,0))</f>
        <v>Accessories</v>
      </c>
      <c r="I379" s="32" t="n">
        <f aca="false">INDEX(Lists!$C$5:$C$12,MATCH(D379,Lists!$A$5:$A$12,0))</f>
        <v>80</v>
      </c>
      <c r="J379" s="32" t="n">
        <f aca="false">INDEX(Lists!$D$5:$D$12,MATCH(D379,Lists!$A$5:$A$12,0))</f>
        <v>38</v>
      </c>
      <c r="K379" s="32" t="n">
        <f aca="false">E379*I379*(1-F379)</f>
        <v>1360</v>
      </c>
      <c r="L379" s="32" t="n">
        <f aca="false">E379*J379</f>
        <v>646</v>
      </c>
      <c r="M379" s="32" t="n">
        <f aca="false">K379-L379</f>
        <v>714</v>
      </c>
      <c r="N379" s="33" t="n">
        <f aca="false">DATE(YEAR(B379),MONTH(B379),1)</f>
        <v>46266</v>
      </c>
    </row>
    <row r="380" customFormat="false" ht="15" hidden="false" customHeight="false" outlineLevel="0" collapsed="false">
      <c r="A380" s="29" t="s">
        <v>454</v>
      </c>
      <c r="B380" s="30" t="n">
        <v>46276</v>
      </c>
      <c r="C380" s="29" t="s">
        <v>86</v>
      </c>
      <c r="D380" s="29" t="s">
        <v>67</v>
      </c>
      <c r="E380" s="29" t="n">
        <v>5</v>
      </c>
      <c r="F380" s="31" t="n">
        <v>0.05</v>
      </c>
      <c r="G380" s="14" t="str">
        <f aca="false">INDEX(Lists!$G$5:$G$12,MATCH(C380,Lists!$F$5:$F$12,0))</f>
        <v>North</v>
      </c>
      <c r="H380" s="14" t="str">
        <f aca="false">INDEX(Lists!$B$5:$B$12,MATCH(D380,Lists!$A$5:$A$12,0))</f>
        <v>Accessories</v>
      </c>
      <c r="I380" s="32" t="n">
        <f aca="false">INDEX(Lists!$C$5:$C$12,MATCH(D380,Lists!$A$5:$A$12,0))</f>
        <v>120</v>
      </c>
      <c r="J380" s="32" t="n">
        <f aca="false">INDEX(Lists!$D$5:$D$12,MATCH(D380,Lists!$A$5:$A$12,0))</f>
        <v>62</v>
      </c>
      <c r="K380" s="32" t="n">
        <f aca="false">E380*I380*(1-F380)</f>
        <v>570</v>
      </c>
      <c r="L380" s="32" t="n">
        <f aca="false">E380*J380</f>
        <v>310</v>
      </c>
      <c r="M380" s="32" t="n">
        <f aca="false">K380-L380</f>
        <v>260</v>
      </c>
      <c r="N380" s="33" t="n">
        <f aca="false">DATE(YEAR(B380),MONTH(B380),1)</f>
        <v>46266</v>
      </c>
    </row>
    <row r="381" customFormat="false" ht="15" hidden="false" customHeight="false" outlineLevel="0" collapsed="false">
      <c r="A381" s="29" t="s">
        <v>455</v>
      </c>
      <c r="B381" s="30" t="n">
        <v>46277</v>
      </c>
      <c r="C381" s="29" t="s">
        <v>83</v>
      </c>
      <c r="D381" s="29" t="s">
        <v>67</v>
      </c>
      <c r="E381" s="29" t="n">
        <v>2</v>
      </c>
      <c r="F381" s="31" t="n">
        <v>0.05</v>
      </c>
      <c r="G381" s="14" t="str">
        <f aca="false">INDEX(Lists!$G$5:$G$12,MATCH(C381,Lists!$F$5:$F$12,0))</f>
        <v>West</v>
      </c>
      <c r="H381" s="14" t="str">
        <f aca="false">INDEX(Lists!$B$5:$B$12,MATCH(D381,Lists!$A$5:$A$12,0))</f>
        <v>Accessories</v>
      </c>
      <c r="I381" s="32" t="n">
        <f aca="false">INDEX(Lists!$C$5:$C$12,MATCH(D381,Lists!$A$5:$A$12,0))</f>
        <v>120</v>
      </c>
      <c r="J381" s="32" t="n">
        <f aca="false">INDEX(Lists!$D$5:$D$12,MATCH(D381,Lists!$A$5:$A$12,0))</f>
        <v>62</v>
      </c>
      <c r="K381" s="32" t="n">
        <f aca="false">E381*I381*(1-F381)</f>
        <v>228</v>
      </c>
      <c r="L381" s="32" t="n">
        <f aca="false">E381*J381</f>
        <v>124</v>
      </c>
      <c r="M381" s="32" t="n">
        <f aca="false">K381-L381</f>
        <v>104</v>
      </c>
      <c r="N381" s="33" t="n">
        <f aca="false">DATE(YEAR(B381),MONTH(B381),1)</f>
        <v>46266</v>
      </c>
    </row>
    <row r="382" customFormat="false" ht="15" hidden="false" customHeight="false" outlineLevel="0" collapsed="false">
      <c r="A382" s="29" t="s">
        <v>456</v>
      </c>
      <c r="B382" s="30" t="n">
        <v>46278</v>
      </c>
      <c r="C382" s="29" t="s">
        <v>69</v>
      </c>
      <c r="D382" s="29" t="s">
        <v>67</v>
      </c>
      <c r="E382" s="29" t="n">
        <v>1</v>
      </c>
      <c r="F382" s="31" t="n">
        <v>0.1</v>
      </c>
      <c r="G382" s="14" t="str">
        <f aca="false">INDEX(Lists!$G$5:$G$12,MATCH(C382,Lists!$F$5:$F$12,0))</f>
        <v>East</v>
      </c>
      <c r="H382" s="14" t="str">
        <f aca="false">INDEX(Lists!$B$5:$B$12,MATCH(D382,Lists!$A$5:$A$12,0))</f>
        <v>Accessories</v>
      </c>
      <c r="I382" s="32" t="n">
        <f aca="false">INDEX(Lists!$C$5:$C$12,MATCH(D382,Lists!$A$5:$A$12,0))</f>
        <v>120</v>
      </c>
      <c r="J382" s="32" t="n">
        <f aca="false">INDEX(Lists!$D$5:$D$12,MATCH(D382,Lists!$A$5:$A$12,0))</f>
        <v>62</v>
      </c>
      <c r="K382" s="32" t="n">
        <f aca="false">E382*I382*(1-F382)</f>
        <v>108</v>
      </c>
      <c r="L382" s="32" t="n">
        <f aca="false">E382*J382</f>
        <v>62</v>
      </c>
      <c r="M382" s="32" t="n">
        <f aca="false">K382-L382</f>
        <v>46</v>
      </c>
      <c r="N382" s="33" t="n">
        <f aca="false">DATE(YEAR(B382),MONTH(B382),1)</f>
        <v>46266</v>
      </c>
    </row>
    <row r="383" customFormat="false" ht="15" hidden="false" customHeight="false" outlineLevel="0" collapsed="false">
      <c r="A383" s="29" t="s">
        <v>457</v>
      </c>
      <c r="B383" s="30" t="n">
        <v>46278</v>
      </c>
      <c r="C383" s="29" t="s">
        <v>86</v>
      </c>
      <c r="D383" s="29" t="s">
        <v>67</v>
      </c>
      <c r="E383" s="29" t="n">
        <v>7</v>
      </c>
      <c r="F383" s="31" t="n">
        <v>0.1</v>
      </c>
      <c r="G383" s="14" t="str">
        <f aca="false">INDEX(Lists!$G$5:$G$12,MATCH(C383,Lists!$F$5:$F$12,0))</f>
        <v>North</v>
      </c>
      <c r="H383" s="14" t="str">
        <f aca="false">INDEX(Lists!$B$5:$B$12,MATCH(D383,Lists!$A$5:$A$12,0))</f>
        <v>Accessories</v>
      </c>
      <c r="I383" s="32" t="n">
        <f aca="false">INDEX(Lists!$C$5:$C$12,MATCH(D383,Lists!$A$5:$A$12,0))</f>
        <v>120</v>
      </c>
      <c r="J383" s="32" t="n">
        <f aca="false">INDEX(Lists!$D$5:$D$12,MATCH(D383,Lists!$A$5:$A$12,0))</f>
        <v>62</v>
      </c>
      <c r="K383" s="32" t="n">
        <f aca="false">E383*I383*(1-F383)</f>
        <v>756</v>
      </c>
      <c r="L383" s="32" t="n">
        <f aca="false">E383*J383</f>
        <v>434</v>
      </c>
      <c r="M383" s="32" t="n">
        <f aca="false">K383-L383</f>
        <v>322</v>
      </c>
      <c r="N383" s="33" t="n">
        <f aca="false">DATE(YEAR(B383),MONTH(B383),1)</f>
        <v>46266</v>
      </c>
    </row>
    <row r="384" customFormat="false" ht="15" hidden="false" customHeight="false" outlineLevel="0" collapsed="false">
      <c r="A384" s="29" t="s">
        <v>458</v>
      </c>
      <c r="B384" s="30" t="n">
        <v>46282</v>
      </c>
      <c r="C384" s="29" t="s">
        <v>86</v>
      </c>
      <c r="D384" s="29" t="s">
        <v>67</v>
      </c>
      <c r="E384" s="29" t="n">
        <v>12</v>
      </c>
      <c r="F384" s="31" t="n">
        <v>0.05</v>
      </c>
      <c r="G384" s="14" t="str">
        <f aca="false">INDEX(Lists!$G$5:$G$12,MATCH(C384,Lists!$F$5:$F$12,0))</f>
        <v>North</v>
      </c>
      <c r="H384" s="14" t="str">
        <f aca="false">INDEX(Lists!$B$5:$B$12,MATCH(D384,Lists!$A$5:$A$12,0))</f>
        <v>Accessories</v>
      </c>
      <c r="I384" s="32" t="n">
        <f aca="false">INDEX(Lists!$C$5:$C$12,MATCH(D384,Lists!$A$5:$A$12,0))</f>
        <v>120</v>
      </c>
      <c r="J384" s="32" t="n">
        <f aca="false">INDEX(Lists!$D$5:$D$12,MATCH(D384,Lists!$A$5:$A$12,0))</f>
        <v>62</v>
      </c>
      <c r="K384" s="32" t="n">
        <f aca="false">E384*I384*(1-F384)</f>
        <v>1368</v>
      </c>
      <c r="L384" s="32" t="n">
        <f aca="false">E384*J384</f>
        <v>744</v>
      </c>
      <c r="M384" s="32" t="n">
        <f aca="false">K384-L384</f>
        <v>624</v>
      </c>
      <c r="N384" s="33" t="n">
        <f aca="false">DATE(YEAR(B384),MONTH(B384),1)</f>
        <v>46266</v>
      </c>
    </row>
    <row r="385" customFormat="false" ht="15" hidden="false" customHeight="false" outlineLevel="0" collapsed="false">
      <c r="A385" s="29" t="s">
        <v>459</v>
      </c>
      <c r="B385" s="30" t="n">
        <v>46282</v>
      </c>
      <c r="C385" s="29" t="s">
        <v>86</v>
      </c>
      <c r="D385" s="29" t="s">
        <v>72</v>
      </c>
      <c r="E385" s="29" t="n">
        <v>16</v>
      </c>
      <c r="F385" s="31" t="n">
        <v>0</v>
      </c>
      <c r="G385" s="14" t="str">
        <f aca="false">INDEX(Lists!$G$5:$G$12,MATCH(C385,Lists!$F$5:$F$12,0))</f>
        <v>North</v>
      </c>
      <c r="H385" s="14" t="str">
        <f aca="false">INDEX(Lists!$B$5:$B$12,MATCH(D385,Lists!$A$5:$A$12,0))</f>
        <v>Accessories</v>
      </c>
      <c r="I385" s="32" t="n">
        <f aca="false">INDEX(Lists!$C$5:$C$12,MATCH(D385,Lists!$A$5:$A$12,0))</f>
        <v>80</v>
      </c>
      <c r="J385" s="32" t="n">
        <f aca="false">INDEX(Lists!$D$5:$D$12,MATCH(D385,Lists!$A$5:$A$12,0))</f>
        <v>38</v>
      </c>
      <c r="K385" s="32" t="n">
        <f aca="false">E385*I385*(1-F385)</f>
        <v>1280</v>
      </c>
      <c r="L385" s="32" t="n">
        <f aca="false">E385*J385</f>
        <v>608</v>
      </c>
      <c r="M385" s="32" t="n">
        <f aca="false">K385-L385</f>
        <v>672</v>
      </c>
      <c r="N385" s="33" t="n">
        <f aca="false">DATE(YEAR(B385),MONTH(B385),1)</f>
        <v>46266</v>
      </c>
    </row>
    <row r="386" customFormat="false" ht="15" hidden="false" customHeight="false" outlineLevel="0" collapsed="false">
      <c r="A386" s="29" t="s">
        <v>460</v>
      </c>
      <c r="B386" s="30" t="n">
        <v>46282</v>
      </c>
      <c r="C386" s="29" t="s">
        <v>93</v>
      </c>
      <c r="D386" s="29" t="s">
        <v>80</v>
      </c>
      <c r="E386" s="29" t="n">
        <v>2</v>
      </c>
      <c r="F386" s="31" t="n">
        <v>0</v>
      </c>
      <c r="G386" s="14" t="str">
        <f aca="false">INDEX(Lists!$G$5:$G$12,MATCH(C386,Lists!$F$5:$F$12,0))</f>
        <v>West</v>
      </c>
      <c r="H386" s="14" t="str">
        <f aca="false">INDEX(Lists!$B$5:$B$12,MATCH(D386,Lists!$A$5:$A$12,0))</f>
        <v>Computers</v>
      </c>
      <c r="I386" s="32" t="n">
        <f aca="false">INDEX(Lists!$C$5:$C$12,MATCH(D386,Lists!$A$5:$A$12,0))</f>
        <v>2400</v>
      </c>
      <c r="J386" s="32" t="n">
        <f aca="false">INDEX(Lists!$D$5:$D$12,MATCH(D386,Lists!$A$5:$A$12,0))</f>
        <v>1650</v>
      </c>
      <c r="K386" s="32" t="n">
        <f aca="false">E386*I386*(1-F386)</f>
        <v>4800</v>
      </c>
      <c r="L386" s="32" t="n">
        <f aca="false">E386*J386</f>
        <v>3300</v>
      </c>
      <c r="M386" s="32" t="n">
        <f aca="false">K386-L386</f>
        <v>1500</v>
      </c>
      <c r="N386" s="33" t="n">
        <f aca="false">DATE(YEAR(B386),MONTH(B386),1)</f>
        <v>46266</v>
      </c>
    </row>
    <row r="387" customFormat="false" ht="15" hidden="false" customHeight="false" outlineLevel="0" collapsed="false">
      <c r="A387" s="29" t="s">
        <v>461</v>
      </c>
      <c r="B387" s="30" t="n">
        <v>46284</v>
      </c>
      <c r="C387" s="29" t="s">
        <v>93</v>
      </c>
      <c r="D387" s="29" t="s">
        <v>72</v>
      </c>
      <c r="E387" s="29" t="n">
        <v>13</v>
      </c>
      <c r="F387" s="31" t="n">
        <v>0</v>
      </c>
      <c r="G387" s="14" t="str">
        <f aca="false">INDEX(Lists!$G$5:$G$12,MATCH(C387,Lists!$F$5:$F$12,0))</f>
        <v>West</v>
      </c>
      <c r="H387" s="14" t="str">
        <f aca="false">INDEX(Lists!$B$5:$B$12,MATCH(D387,Lists!$A$5:$A$12,0))</f>
        <v>Accessories</v>
      </c>
      <c r="I387" s="32" t="n">
        <f aca="false">INDEX(Lists!$C$5:$C$12,MATCH(D387,Lists!$A$5:$A$12,0))</f>
        <v>80</v>
      </c>
      <c r="J387" s="32" t="n">
        <f aca="false">INDEX(Lists!$D$5:$D$12,MATCH(D387,Lists!$A$5:$A$12,0))</f>
        <v>38</v>
      </c>
      <c r="K387" s="32" t="n">
        <f aca="false">E387*I387*(1-F387)</f>
        <v>1040</v>
      </c>
      <c r="L387" s="32" t="n">
        <f aca="false">E387*J387</f>
        <v>494</v>
      </c>
      <c r="M387" s="32" t="n">
        <f aca="false">K387-L387</f>
        <v>546</v>
      </c>
      <c r="N387" s="33" t="n">
        <f aca="false">DATE(YEAR(B387),MONTH(B387),1)</f>
        <v>46266</v>
      </c>
    </row>
    <row r="388" customFormat="false" ht="15" hidden="false" customHeight="false" outlineLevel="0" collapsed="false">
      <c r="A388" s="29" t="s">
        <v>462</v>
      </c>
      <c r="B388" s="30" t="n">
        <v>46284</v>
      </c>
      <c r="C388" s="29" t="s">
        <v>93</v>
      </c>
      <c r="D388" s="29" t="s">
        <v>67</v>
      </c>
      <c r="E388" s="29" t="n">
        <v>3</v>
      </c>
      <c r="F388" s="31" t="n">
        <v>0.05</v>
      </c>
      <c r="G388" s="14" t="str">
        <f aca="false">INDEX(Lists!$G$5:$G$12,MATCH(C388,Lists!$F$5:$F$12,0))</f>
        <v>West</v>
      </c>
      <c r="H388" s="14" t="str">
        <f aca="false">INDEX(Lists!$B$5:$B$12,MATCH(D388,Lists!$A$5:$A$12,0))</f>
        <v>Accessories</v>
      </c>
      <c r="I388" s="32" t="n">
        <f aca="false">INDEX(Lists!$C$5:$C$12,MATCH(D388,Lists!$A$5:$A$12,0))</f>
        <v>120</v>
      </c>
      <c r="J388" s="32" t="n">
        <f aca="false">INDEX(Lists!$D$5:$D$12,MATCH(D388,Lists!$A$5:$A$12,0))</f>
        <v>62</v>
      </c>
      <c r="K388" s="32" t="n">
        <f aca="false">E388*I388*(1-F388)</f>
        <v>342</v>
      </c>
      <c r="L388" s="32" t="n">
        <f aca="false">E388*J388</f>
        <v>186</v>
      </c>
      <c r="M388" s="32" t="n">
        <f aca="false">K388-L388</f>
        <v>156</v>
      </c>
      <c r="N388" s="33" t="n">
        <f aca="false">DATE(YEAR(B388),MONTH(B388),1)</f>
        <v>46266</v>
      </c>
    </row>
    <row r="389" customFormat="false" ht="15" hidden="false" customHeight="false" outlineLevel="0" collapsed="false">
      <c r="A389" s="29" t="s">
        <v>463</v>
      </c>
      <c r="B389" s="30" t="n">
        <v>46285</v>
      </c>
      <c r="C389" s="29" t="s">
        <v>74</v>
      </c>
      <c r="D389" s="29" t="s">
        <v>72</v>
      </c>
      <c r="E389" s="29" t="n">
        <v>12</v>
      </c>
      <c r="F389" s="31" t="n">
        <v>0.1</v>
      </c>
      <c r="G389" s="14" t="str">
        <f aca="false">INDEX(Lists!$G$5:$G$12,MATCH(C389,Lists!$F$5:$F$12,0))</f>
        <v>South</v>
      </c>
      <c r="H389" s="14" t="str">
        <f aca="false">INDEX(Lists!$B$5:$B$12,MATCH(D389,Lists!$A$5:$A$12,0))</f>
        <v>Accessories</v>
      </c>
      <c r="I389" s="32" t="n">
        <f aca="false">INDEX(Lists!$C$5:$C$12,MATCH(D389,Lists!$A$5:$A$12,0))</f>
        <v>80</v>
      </c>
      <c r="J389" s="32" t="n">
        <f aca="false">INDEX(Lists!$D$5:$D$12,MATCH(D389,Lists!$A$5:$A$12,0))</f>
        <v>38</v>
      </c>
      <c r="K389" s="32" t="n">
        <f aca="false">E389*I389*(1-F389)</f>
        <v>864</v>
      </c>
      <c r="L389" s="32" t="n">
        <f aca="false">E389*J389</f>
        <v>456</v>
      </c>
      <c r="M389" s="32" t="n">
        <f aca="false">K389-L389</f>
        <v>408</v>
      </c>
      <c r="N389" s="33" t="n">
        <f aca="false">DATE(YEAR(B389),MONTH(B389),1)</f>
        <v>46266</v>
      </c>
    </row>
    <row r="390" customFormat="false" ht="15" hidden="false" customHeight="false" outlineLevel="0" collapsed="false">
      <c r="A390" s="29" t="s">
        <v>464</v>
      </c>
      <c r="B390" s="30" t="n">
        <v>46286</v>
      </c>
      <c r="C390" s="29" t="s">
        <v>93</v>
      </c>
      <c r="D390" s="29" t="s">
        <v>62</v>
      </c>
      <c r="E390" s="29" t="n">
        <v>2</v>
      </c>
      <c r="F390" s="31" t="n">
        <v>0.05</v>
      </c>
      <c r="G390" s="14" t="str">
        <f aca="false">INDEX(Lists!$G$5:$G$12,MATCH(C390,Lists!$F$5:$F$12,0))</f>
        <v>West</v>
      </c>
      <c r="H390" s="14" t="str">
        <f aca="false">INDEX(Lists!$B$5:$B$12,MATCH(D390,Lists!$A$5:$A$12,0))</f>
        <v>Computers</v>
      </c>
      <c r="I390" s="32" t="n">
        <f aca="false">INDEX(Lists!$C$5:$C$12,MATCH(D390,Lists!$A$5:$A$12,0))</f>
        <v>1600</v>
      </c>
      <c r="J390" s="32" t="n">
        <f aca="false">INDEX(Lists!$D$5:$D$12,MATCH(D390,Lists!$A$5:$A$12,0))</f>
        <v>1100</v>
      </c>
      <c r="K390" s="32" t="n">
        <f aca="false">E390*I390*(1-F390)</f>
        <v>3040</v>
      </c>
      <c r="L390" s="32" t="n">
        <f aca="false">E390*J390</f>
        <v>2200</v>
      </c>
      <c r="M390" s="32" t="n">
        <f aca="false">K390-L390</f>
        <v>840</v>
      </c>
      <c r="N390" s="33" t="n">
        <f aca="false">DATE(YEAR(B390),MONTH(B390),1)</f>
        <v>46266</v>
      </c>
    </row>
    <row r="391" customFormat="false" ht="15" hidden="false" customHeight="false" outlineLevel="0" collapsed="false">
      <c r="A391" s="29" t="s">
        <v>465</v>
      </c>
      <c r="B391" s="30" t="n">
        <v>46286</v>
      </c>
      <c r="C391" s="29" t="s">
        <v>61</v>
      </c>
      <c r="D391" s="29" t="s">
        <v>72</v>
      </c>
      <c r="E391" s="29" t="n">
        <v>1</v>
      </c>
      <c r="F391" s="31" t="n">
        <v>0.15</v>
      </c>
      <c r="G391" s="14" t="str">
        <f aca="false">INDEX(Lists!$G$5:$G$12,MATCH(C391,Lists!$F$5:$F$12,0))</f>
        <v>South</v>
      </c>
      <c r="H391" s="14" t="str">
        <f aca="false">INDEX(Lists!$B$5:$B$12,MATCH(D391,Lists!$A$5:$A$12,0))</f>
        <v>Accessories</v>
      </c>
      <c r="I391" s="32" t="n">
        <f aca="false">INDEX(Lists!$C$5:$C$12,MATCH(D391,Lists!$A$5:$A$12,0))</f>
        <v>80</v>
      </c>
      <c r="J391" s="32" t="n">
        <f aca="false">INDEX(Lists!$D$5:$D$12,MATCH(D391,Lists!$A$5:$A$12,0))</f>
        <v>38</v>
      </c>
      <c r="K391" s="32" t="n">
        <f aca="false">E391*I391*(1-F391)</f>
        <v>68</v>
      </c>
      <c r="L391" s="32" t="n">
        <f aca="false">E391*J391</f>
        <v>38</v>
      </c>
      <c r="M391" s="32" t="n">
        <f aca="false">K391-L391</f>
        <v>30</v>
      </c>
      <c r="N391" s="33" t="n">
        <f aca="false">DATE(YEAR(B391),MONTH(B391),1)</f>
        <v>46266</v>
      </c>
    </row>
    <row r="392" customFormat="false" ht="15" hidden="false" customHeight="false" outlineLevel="0" collapsed="false">
      <c r="A392" s="29" t="s">
        <v>466</v>
      </c>
      <c r="B392" s="30" t="n">
        <v>46287</v>
      </c>
      <c r="C392" s="29" t="s">
        <v>69</v>
      </c>
      <c r="D392" s="29" t="s">
        <v>72</v>
      </c>
      <c r="E392" s="29" t="n">
        <v>18</v>
      </c>
      <c r="F392" s="31" t="n">
        <v>0.05</v>
      </c>
      <c r="G392" s="14" t="str">
        <f aca="false">INDEX(Lists!$G$5:$G$12,MATCH(C392,Lists!$F$5:$F$12,0))</f>
        <v>East</v>
      </c>
      <c r="H392" s="14" t="str">
        <f aca="false">INDEX(Lists!$B$5:$B$12,MATCH(D392,Lists!$A$5:$A$12,0))</f>
        <v>Accessories</v>
      </c>
      <c r="I392" s="32" t="n">
        <f aca="false">INDEX(Lists!$C$5:$C$12,MATCH(D392,Lists!$A$5:$A$12,0))</f>
        <v>80</v>
      </c>
      <c r="J392" s="32" t="n">
        <f aca="false">INDEX(Lists!$D$5:$D$12,MATCH(D392,Lists!$A$5:$A$12,0))</f>
        <v>38</v>
      </c>
      <c r="K392" s="32" t="n">
        <f aca="false">E392*I392*(1-F392)</f>
        <v>1368</v>
      </c>
      <c r="L392" s="32" t="n">
        <f aca="false">E392*J392</f>
        <v>684</v>
      </c>
      <c r="M392" s="32" t="n">
        <f aca="false">K392-L392</f>
        <v>684</v>
      </c>
      <c r="N392" s="33" t="n">
        <f aca="false">DATE(YEAR(B392),MONTH(B392),1)</f>
        <v>46266</v>
      </c>
    </row>
    <row r="393" customFormat="false" ht="15" hidden="false" customHeight="false" outlineLevel="0" collapsed="false">
      <c r="A393" s="29" t="s">
        <v>467</v>
      </c>
      <c r="B393" s="30" t="n">
        <v>46289</v>
      </c>
      <c r="C393" s="29" t="s">
        <v>93</v>
      </c>
      <c r="D393" s="29" t="s">
        <v>67</v>
      </c>
      <c r="E393" s="29" t="n">
        <v>8</v>
      </c>
      <c r="F393" s="31" t="n">
        <v>0.15</v>
      </c>
      <c r="G393" s="14" t="str">
        <f aca="false">INDEX(Lists!$G$5:$G$12,MATCH(C393,Lists!$F$5:$F$12,0))</f>
        <v>West</v>
      </c>
      <c r="H393" s="14" t="str">
        <f aca="false">INDEX(Lists!$B$5:$B$12,MATCH(D393,Lists!$A$5:$A$12,0))</f>
        <v>Accessories</v>
      </c>
      <c r="I393" s="32" t="n">
        <f aca="false">INDEX(Lists!$C$5:$C$12,MATCH(D393,Lists!$A$5:$A$12,0))</f>
        <v>120</v>
      </c>
      <c r="J393" s="32" t="n">
        <f aca="false">INDEX(Lists!$D$5:$D$12,MATCH(D393,Lists!$A$5:$A$12,0))</f>
        <v>62</v>
      </c>
      <c r="K393" s="32" t="n">
        <f aca="false">E393*I393*(1-F393)</f>
        <v>816</v>
      </c>
      <c r="L393" s="32" t="n">
        <f aca="false">E393*J393</f>
        <v>496</v>
      </c>
      <c r="M393" s="32" t="n">
        <f aca="false">K393-L393</f>
        <v>320</v>
      </c>
      <c r="N393" s="33" t="n">
        <f aca="false">DATE(YEAR(B393),MONTH(B393),1)</f>
        <v>46266</v>
      </c>
    </row>
    <row r="394" customFormat="false" ht="15" hidden="false" customHeight="false" outlineLevel="0" collapsed="false">
      <c r="A394" s="29" t="s">
        <v>468</v>
      </c>
      <c r="B394" s="30" t="n">
        <v>46292</v>
      </c>
      <c r="C394" s="29" t="s">
        <v>64</v>
      </c>
      <c r="D394" s="29" t="s">
        <v>70</v>
      </c>
      <c r="E394" s="29" t="n">
        <v>5</v>
      </c>
      <c r="F394" s="31" t="n">
        <v>0</v>
      </c>
      <c r="G394" s="14" t="str">
        <f aca="false">INDEX(Lists!$G$5:$G$12,MATCH(C394,Lists!$F$5:$F$12,0))</f>
        <v>East</v>
      </c>
      <c r="H394" s="14" t="str">
        <f aca="false">INDEX(Lists!$B$5:$B$12,MATCH(D394,Lists!$A$5:$A$12,0))</f>
        <v>Displays</v>
      </c>
      <c r="I394" s="32" t="n">
        <f aca="false">INDEX(Lists!$C$5:$C$12,MATCH(D394,Lists!$A$5:$A$12,0))</f>
        <v>520</v>
      </c>
      <c r="J394" s="32" t="n">
        <f aca="false">INDEX(Lists!$D$5:$D$12,MATCH(D394,Lists!$A$5:$A$12,0))</f>
        <v>340</v>
      </c>
      <c r="K394" s="32" t="n">
        <f aca="false">E394*I394*(1-F394)</f>
        <v>2600</v>
      </c>
      <c r="L394" s="32" t="n">
        <f aca="false">E394*J394</f>
        <v>1700</v>
      </c>
      <c r="M394" s="32" t="n">
        <f aca="false">K394-L394</f>
        <v>900</v>
      </c>
      <c r="N394" s="33" t="n">
        <f aca="false">DATE(YEAR(B394),MONTH(B394),1)</f>
        <v>46266</v>
      </c>
    </row>
    <row r="395" customFormat="false" ht="15" hidden="false" customHeight="false" outlineLevel="0" collapsed="false">
      <c r="A395" s="29" t="s">
        <v>469</v>
      </c>
      <c r="B395" s="30" t="n">
        <v>46293</v>
      </c>
      <c r="C395" s="29" t="s">
        <v>88</v>
      </c>
      <c r="D395" s="29" t="s">
        <v>70</v>
      </c>
      <c r="E395" s="29" t="n">
        <v>7</v>
      </c>
      <c r="F395" s="31" t="n">
        <v>0</v>
      </c>
      <c r="G395" s="14" t="str">
        <f aca="false">INDEX(Lists!$G$5:$G$12,MATCH(C395,Lists!$F$5:$F$12,0))</f>
        <v>North</v>
      </c>
      <c r="H395" s="14" t="str">
        <f aca="false">INDEX(Lists!$B$5:$B$12,MATCH(D395,Lists!$A$5:$A$12,0))</f>
        <v>Displays</v>
      </c>
      <c r="I395" s="32" t="n">
        <f aca="false">INDEX(Lists!$C$5:$C$12,MATCH(D395,Lists!$A$5:$A$12,0))</f>
        <v>520</v>
      </c>
      <c r="J395" s="32" t="n">
        <f aca="false">INDEX(Lists!$D$5:$D$12,MATCH(D395,Lists!$A$5:$A$12,0))</f>
        <v>340</v>
      </c>
      <c r="K395" s="32" t="n">
        <f aca="false">E395*I395*(1-F395)</f>
        <v>3640</v>
      </c>
      <c r="L395" s="32" t="n">
        <f aca="false">E395*J395</f>
        <v>2380</v>
      </c>
      <c r="M395" s="32" t="n">
        <f aca="false">K395-L395</f>
        <v>1260</v>
      </c>
      <c r="N395" s="33" t="n">
        <f aca="false">DATE(YEAR(B395),MONTH(B395),1)</f>
        <v>46266</v>
      </c>
    </row>
    <row r="396" customFormat="false" ht="15" hidden="false" customHeight="false" outlineLevel="0" collapsed="false">
      <c r="A396" s="29" t="s">
        <v>470</v>
      </c>
      <c r="B396" s="30" t="n">
        <v>46293</v>
      </c>
      <c r="C396" s="29" t="s">
        <v>86</v>
      </c>
      <c r="D396" s="29" t="s">
        <v>72</v>
      </c>
      <c r="E396" s="29" t="n">
        <v>7</v>
      </c>
      <c r="F396" s="31" t="n">
        <v>0</v>
      </c>
      <c r="G396" s="14" t="str">
        <f aca="false">INDEX(Lists!$G$5:$G$12,MATCH(C396,Lists!$F$5:$F$12,0))</f>
        <v>North</v>
      </c>
      <c r="H396" s="14" t="str">
        <f aca="false">INDEX(Lists!$B$5:$B$12,MATCH(D396,Lists!$A$5:$A$12,0))</f>
        <v>Accessories</v>
      </c>
      <c r="I396" s="32" t="n">
        <f aca="false">INDEX(Lists!$C$5:$C$12,MATCH(D396,Lists!$A$5:$A$12,0))</f>
        <v>80</v>
      </c>
      <c r="J396" s="32" t="n">
        <f aca="false">INDEX(Lists!$D$5:$D$12,MATCH(D396,Lists!$A$5:$A$12,0))</f>
        <v>38</v>
      </c>
      <c r="K396" s="32" t="n">
        <f aca="false">E396*I396*(1-F396)</f>
        <v>560</v>
      </c>
      <c r="L396" s="32" t="n">
        <f aca="false">E396*J396</f>
        <v>266</v>
      </c>
      <c r="M396" s="32" t="n">
        <f aca="false">K396-L396</f>
        <v>294</v>
      </c>
      <c r="N396" s="33" t="n">
        <f aca="false">DATE(YEAR(B396),MONTH(B396),1)</f>
        <v>46266</v>
      </c>
    </row>
    <row r="397" customFormat="false" ht="15" hidden="false" customHeight="false" outlineLevel="0" collapsed="false">
      <c r="A397" s="29" t="s">
        <v>471</v>
      </c>
      <c r="B397" s="30" t="n">
        <v>46293</v>
      </c>
      <c r="C397" s="29" t="s">
        <v>86</v>
      </c>
      <c r="D397" s="29" t="s">
        <v>80</v>
      </c>
      <c r="E397" s="29" t="n">
        <v>1</v>
      </c>
      <c r="F397" s="31" t="n">
        <v>0.05</v>
      </c>
      <c r="G397" s="14" t="str">
        <f aca="false">INDEX(Lists!$G$5:$G$12,MATCH(C397,Lists!$F$5:$F$12,0))</f>
        <v>North</v>
      </c>
      <c r="H397" s="14" t="str">
        <f aca="false">INDEX(Lists!$B$5:$B$12,MATCH(D397,Lists!$A$5:$A$12,0))</f>
        <v>Computers</v>
      </c>
      <c r="I397" s="32" t="n">
        <f aca="false">INDEX(Lists!$C$5:$C$12,MATCH(D397,Lists!$A$5:$A$12,0))</f>
        <v>2400</v>
      </c>
      <c r="J397" s="32" t="n">
        <f aca="false">INDEX(Lists!$D$5:$D$12,MATCH(D397,Lists!$A$5:$A$12,0))</f>
        <v>1650</v>
      </c>
      <c r="K397" s="32" t="n">
        <f aca="false">E397*I397*(1-F397)</f>
        <v>2280</v>
      </c>
      <c r="L397" s="32" t="n">
        <f aca="false">E397*J397</f>
        <v>1650</v>
      </c>
      <c r="M397" s="32" t="n">
        <f aca="false">K397-L397</f>
        <v>630</v>
      </c>
      <c r="N397" s="33" t="n">
        <f aca="false">DATE(YEAR(B397),MONTH(B397),1)</f>
        <v>46266</v>
      </c>
    </row>
    <row r="398" customFormat="false" ht="15" hidden="false" customHeight="false" outlineLevel="0" collapsed="false">
      <c r="A398" s="29" t="s">
        <v>472</v>
      </c>
      <c r="B398" s="30" t="n">
        <v>46293</v>
      </c>
      <c r="C398" s="29" t="s">
        <v>86</v>
      </c>
      <c r="D398" s="29" t="s">
        <v>70</v>
      </c>
      <c r="E398" s="29" t="n">
        <v>8</v>
      </c>
      <c r="F398" s="31" t="n">
        <v>0.05</v>
      </c>
      <c r="G398" s="14" t="str">
        <f aca="false">INDEX(Lists!$G$5:$G$12,MATCH(C398,Lists!$F$5:$F$12,0))</f>
        <v>North</v>
      </c>
      <c r="H398" s="14" t="str">
        <f aca="false">INDEX(Lists!$B$5:$B$12,MATCH(D398,Lists!$A$5:$A$12,0))</f>
        <v>Displays</v>
      </c>
      <c r="I398" s="32" t="n">
        <f aca="false">INDEX(Lists!$C$5:$C$12,MATCH(D398,Lists!$A$5:$A$12,0))</f>
        <v>520</v>
      </c>
      <c r="J398" s="32" t="n">
        <f aca="false">INDEX(Lists!$D$5:$D$12,MATCH(D398,Lists!$A$5:$A$12,0))</f>
        <v>340</v>
      </c>
      <c r="K398" s="32" t="n">
        <f aca="false">E398*I398*(1-F398)</f>
        <v>3952</v>
      </c>
      <c r="L398" s="32" t="n">
        <f aca="false">E398*J398</f>
        <v>2720</v>
      </c>
      <c r="M398" s="32" t="n">
        <f aca="false">K398-L398</f>
        <v>1232</v>
      </c>
      <c r="N398" s="33" t="n">
        <f aca="false">DATE(YEAR(B398),MONTH(B398),1)</f>
        <v>46266</v>
      </c>
    </row>
    <row r="399" customFormat="false" ht="15" hidden="false" customHeight="false" outlineLevel="0" collapsed="false">
      <c r="A399" s="29" t="s">
        <v>473</v>
      </c>
      <c r="B399" s="30" t="n">
        <v>46293</v>
      </c>
      <c r="C399" s="29" t="s">
        <v>61</v>
      </c>
      <c r="D399" s="29" t="s">
        <v>70</v>
      </c>
      <c r="E399" s="29" t="n">
        <v>1</v>
      </c>
      <c r="F399" s="31" t="n">
        <v>0.15</v>
      </c>
      <c r="G399" s="14" t="str">
        <f aca="false">INDEX(Lists!$G$5:$G$12,MATCH(C399,Lists!$F$5:$F$12,0))</f>
        <v>South</v>
      </c>
      <c r="H399" s="14" t="str">
        <f aca="false">INDEX(Lists!$B$5:$B$12,MATCH(D399,Lists!$A$5:$A$12,0))</f>
        <v>Displays</v>
      </c>
      <c r="I399" s="32" t="n">
        <f aca="false">INDEX(Lists!$C$5:$C$12,MATCH(D399,Lists!$A$5:$A$12,0))</f>
        <v>520</v>
      </c>
      <c r="J399" s="32" t="n">
        <f aca="false">INDEX(Lists!$D$5:$D$12,MATCH(D399,Lists!$A$5:$A$12,0))</f>
        <v>340</v>
      </c>
      <c r="K399" s="32" t="n">
        <f aca="false">E399*I399*(1-F399)</f>
        <v>442</v>
      </c>
      <c r="L399" s="32" t="n">
        <f aca="false">E399*J399</f>
        <v>340</v>
      </c>
      <c r="M399" s="32" t="n">
        <f aca="false">K399-L399</f>
        <v>102</v>
      </c>
      <c r="N399" s="33" t="n">
        <f aca="false">DATE(YEAR(B399),MONTH(B399),1)</f>
        <v>46266</v>
      </c>
    </row>
    <row r="400" customFormat="false" ht="15" hidden="false" customHeight="false" outlineLevel="0" collapsed="false">
      <c r="A400" s="29" t="s">
        <v>474</v>
      </c>
      <c r="B400" s="30" t="n">
        <v>46295</v>
      </c>
      <c r="C400" s="29" t="s">
        <v>69</v>
      </c>
      <c r="D400" s="29" t="s">
        <v>62</v>
      </c>
      <c r="E400" s="29" t="n">
        <v>3</v>
      </c>
      <c r="F400" s="31" t="n">
        <v>0</v>
      </c>
      <c r="G400" s="14" t="str">
        <f aca="false">INDEX(Lists!$G$5:$G$12,MATCH(C400,Lists!$F$5:$F$12,0))</f>
        <v>East</v>
      </c>
      <c r="H400" s="14" t="str">
        <f aca="false">INDEX(Lists!$B$5:$B$12,MATCH(D400,Lists!$A$5:$A$12,0))</f>
        <v>Computers</v>
      </c>
      <c r="I400" s="32" t="n">
        <f aca="false">INDEX(Lists!$C$5:$C$12,MATCH(D400,Lists!$A$5:$A$12,0))</f>
        <v>1600</v>
      </c>
      <c r="J400" s="32" t="n">
        <f aca="false">INDEX(Lists!$D$5:$D$12,MATCH(D400,Lists!$A$5:$A$12,0))</f>
        <v>1100</v>
      </c>
      <c r="K400" s="32" t="n">
        <f aca="false">E400*I400*(1-F400)</f>
        <v>4800</v>
      </c>
      <c r="L400" s="32" t="n">
        <f aca="false">E400*J400</f>
        <v>3300</v>
      </c>
      <c r="M400" s="32" t="n">
        <f aca="false">K400-L400</f>
        <v>1500</v>
      </c>
      <c r="N400" s="33" t="n">
        <f aca="false">DATE(YEAR(B400),MONTH(B400),1)</f>
        <v>46266</v>
      </c>
    </row>
    <row r="401" customFormat="false" ht="15" hidden="false" customHeight="false" outlineLevel="0" collapsed="false">
      <c r="A401" s="29" t="s">
        <v>475</v>
      </c>
      <c r="B401" s="30" t="n">
        <v>46295</v>
      </c>
      <c r="C401" s="29" t="s">
        <v>64</v>
      </c>
      <c r="D401" s="29" t="s">
        <v>67</v>
      </c>
      <c r="E401" s="29" t="n">
        <v>10</v>
      </c>
      <c r="F401" s="31" t="n">
        <v>0</v>
      </c>
      <c r="G401" s="14" t="str">
        <f aca="false">INDEX(Lists!$G$5:$G$12,MATCH(C401,Lists!$F$5:$F$12,0))</f>
        <v>East</v>
      </c>
      <c r="H401" s="14" t="str">
        <f aca="false">INDEX(Lists!$B$5:$B$12,MATCH(D401,Lists!$A$5:$A$12,0))</f>
        <v>Accessories</v>
      </c>
      <c r="I401" s="32" t="n">
        <f aca="false">INDEX(Lists!$C$5:$C$12,MATCH(D401,Lists!$A$5:$A$12,0))</f>
        <v>120</v>
      </c>
      <c r="J401" s="32" t="n">
        <f aca="false">INDEX(Lists!$D$5:$D$12,MATCH(D401,Lists!$A$5:$A$12,0))</f>
        <v>62</v>
      </c>
      <c r="K401" s="32" t="n">
        <f aca="false">E401*I401*(1-F401)</f>
        <v>1200</v>
      </c>
      <c r="L401" s="32" t="n">
        <f aca="false">E401*J401</f>
        <v>620</v>
      </c>
      <c r="M401" s="32" t="n">
        <f aca="false">K401-L401</f>
        <v>580</v>
      </c>
      <c r="N401" s="33" t="n">
        <f aca="false">DATE(YEAR(B401),MONTH(B401),1)</f>
        <v>46266</v>
      </c>
    </row>
  </sheetData>
  <autoFilter ref="A1:N401"/>
  <dataValidations count="2">
    <dataValidation allowBlank="true" errorStyle="stop" operator="between" showDropDown="false" showErrorMessage="false" showInputMessage="false" sqref="C2:C1401" type="list">
      <formula1>Lists!$F$5:$F$12</formula1>
      <formula2>0</formula2>
    </dataValidation>
    <dataValidation allowBlank="true" errorStyle="stop" operator="between" showDropDown="false" showErrorMessage="false" showInputMessage="false" sqref="D2:D1401" type="list">
      <formula1>Lists!$A$5:$A$12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4" min="3" style="0" width="15"/>
    <col collapsed="false" customWidth="true" hidden="false" outlineLevel="0" max="5" min="5" style="0" width="3"/>
    <col collapsed="false" customWidth="true" hidden="false" outlineLevel="0" max="6" min="6" style="0" width="18"/>
    <col collapsed="false" customWidth="true" hidden="false" outlineLevel="0" max="7" min="7" style="0" width="12"/>
    <col collapsed="false" customWidth="true" hidden="false" outlineLevel="0" max="8" min="8" style="0" width="18"/>
    <col collapsed="false" customWidth="true" hidden="false" outlineLevel="0" max="9" min="9" style="0" width="3"/>
    <col collapsed="false" customWidth="true" hidden="false" outlineLevel="0" max="10" min="10" style="0" width="12"/>
  </cols>
  <sheetData>
    <row r="1" customFormat="false" ht="22.05" hidden="false" customHeight="false" outlineLevel="0" collapsed="false">
      <c r="A1" s="1" t="s">
        <v>476</v>
      </c>
    </row>
    <row r="2" customFormat="false" ht="15" hidden="false" customHeight="false" outlineLevel="0" collapsed="false">
      <c r="A2" s="15" t="s">
        <v>477</v>
      </c>
      <c r="B2" s="34" t="n">
        <v>45931</v>
      </c>
      <c r="C2" s="2" t="s">
        <v>478</v>
      </c>
    </row>
    <row r="4" customFormat="false" ht="15" hidden="false" customHeight="false" outlineLevel="0" collapsed="false">
      <c r="A4" s="17" t="s">
        <v>42</v>
      </c>
      <c r="B4" s="17" t="s">
        <v>44</v>
      </c>
      <c r="C4" s="17" t="s">
        <v>479</v>
      </c>
      <c r="D4" s="17" t="s">
        <v>480</v>
      </c>
      <c r="F4" s="17" t="s">
        <v>50</v>
      </c>
      <c r="G4" s="17" t="s">
        <v>21</v>
      </c>
      <c r="H4" s="17" t="s">
        <v>481</v>
      </c>
      <c r="J4" s="17" t="s">
        <v>482</v>
      </c>
    </row>
    <row r="5" customFormat="false" ht="15" hidden="false" customHeight="false" outlineLevel="0" collapsed="false">
      <c r="A5" s="35" t="s">
        <v>80</v>
      </c>
      <c r="B5" s="35" t="s">
        <v>45</v>
      </c>
      <c r="C5" s="36" t="n">
        <v>2400</v>
      </c>
      <c r="D5" s="36" t="n">
        <v>1650</v>
      </c>
      <c r="F5" s="35" t="s">
        <v>86</v>
      </c>
      <c r="G5" s="35" t="s">
        <v>483</v>
      </c>
      <c r="H5" s="36" t="n">
        <v>105000</v>
      </c>
      <c r="J5" s="35" t="s">
        <v>483</v>
      </c>
    </row>
    <row r="6" customFormat="false" ht="15" hidden="false" customHeight="false" outlineLevel="0" collapsed="false">
      <c r="A6" s="35" t="s">
        <v>62</v>
      </c>
      <c r="B6" s="35" t="s">
        <v>45</v>
      </c>
      <c r="C6" s="36" t="n">
        <v>1600</v>
      </c>
      <c r="D6" s="36" t="n">
        <v>1100</v>
      </c>
      <c r="F6" s="35" t="s">
        <v>88</v>
      </c>
      <c r="G6" s="35" t="s">
        <v>483</v>
      </c>
      <c r="H6" s="36" t="n">
        <v>90000</v>
      </c>
      <c r="J6" s="35" t="s">
        <v>484</v>
      </c>
    </row>
    <row r="7" customFormat="false" ht="15" hidden="false" customHeight="false" outlineLevel="0" collapsed="false">
      <c r="A7" s="35" t="s">
        <v>70</v>
      </c>
      <c r="B7" s="35" t="s">
        <v>46</v>
      </c>
      <c r="C7" s="36" t="n">
        <v>520</v>
      </c>
      <c r="D7" s="36" t="n">
        <v>340</v>
      </c>
      <c r="F7" s="35" t="s">
        <v>74</v>
      </c>
      <c r="G7" s="35" t="s">
        <v>484</v>
      </c>
      <c r="H7" s="36" t="n">
        <v>100000</v>
      </c>
      <c r="J7" s="35" t="s">
        <v>485</v>
      </c>
    </row>
    <row r="8" customFormat="false" ht="15" hidden="false" customHeight="false" outlineLevel="0" collapsed="false">
      <c r="A8" s="35" t="s">
        <v>65</v>
      </c>
      <c r="B8" s="35" t="s">
        <v>47</v>
      </c>
      <c r="C8" s="36" t="n">
        <v>260</v>
      </c>
      <c r="D8" s="36" t="n">
        <v>150</v>
      </c>
      <c r="F8" s="35" t="s">
        <v>61</v>
      </c>
      <c r="G8" s="35" t="s">
        <v>484</v>
      </c>
      <c r="H8" s="36" t="n">
        <v>85000</v>
      </c>
      <c r="J8" s="35" t="s">
        <v>486</v>
      </c>
    </row>
    <row r="9" customFormat="false" ht="15" hidden="false" customHeight="false" outlineLevel="0" collapsed="false">
      <c r="A9" s="35" t="s">
        <v>67</v>
      </c>
      <c r="B9" s="35" t="s">
        <v>47</v>
      </c>
      <c r="C9" s="36" t="n">
        <v>120</v>
      </c>
      <c r="D9" s="36" t="n">
        <v>62</v>
      </c>
      <c r="F9" s="35" t="s">
        <v>69</v>
      </c>
      <c r="G9" s="35" t="s">
        <v>485</v>
      </c>
      <c r="H9" s="36" t="n">
        <v>110000</v>
      </c>
    </row>
    <row r="10" customFormat="false" ht="15" hidden="false" customHeight="false" outlineLevel="0" collapsed="false">
      <c r="A10" s="35" t="s">
        <v>72</v>
      </c>
      <c r="B10" s="35" t="s">
        <v>47</v>
      </c>
      <c r="C10" s="36" t="n">
        <v>80</v>
      </c>
      <c r="D10" s="36" t="n">
        <v>38</v>
      </c>
      <c r="F10" s="35" t="s">
        <v>64</v>
      </c>
      <c r="G10" s="35" t="s">
        <v>485</v>
      </c>
      <c r="H10" s="36" t="n">
        <v>95000</v>
      </c>
    </row>
    <row r="11" customFormat="false" ht="15" hidden="false" customHeight="false" outlineLevel="0" collapsed="false">
      <c r="A11" s="35" t="s">
        <v>91</v>
      </c>
      <c r="B11" s="35" t="s">
        <v>48</v>
      </c>
      <c r="C11" s="36" t="n">
        <v>190</v>
      </c>
      <c r="D11" s="36" t="n">
        <v>105</v>
      </c>
      <c r="F11" s="35" t="s">
        <v>93</v>
      </c>
      <c r="G11" s="35" t="s">
        <v>486</v>
      </c>
      <c r="H11" s="36" t="n">
        <v>98000</v>
      </c>
    </row>
    <row r="12" customFormat="false" ht="15" hidden="false" customHeight="false" outlineLevel="0" collapsed="false">
      <c r="A12" s="35" t="s">
        <v>75</v>
      </c>
      <c r="B12" s="35" t="s">
        <v>48</v>
      </c>
      <c r="C12" s="36" t="n">
        <v>140</v>
      </c>
      <c r="D12" s="36" t="n">
        <v>70</v>
      </c>
      <c r="F12" s="35" t="s">
        <v>83</v>
      </c>
      <c r="G12" s="35" t="s">
        <v>486</v>
      </c>
      <c r="H12" s="36" t="n">
        <v>88000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2026-10-12T01:58:51Z</dcterms:created>
  <dc:creator>openpyxl</dc:creator>
  <dc:description/>
  <dc:language>en-US</dc:language>
  <cp:lastModifiedBy/>
  <dcterms:modified xsi:type="dcterms:W3CDTF">2026-10-12T01:58:53Z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