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Brief" sheetId="1" state="visible" r:id="rId3"/>
    <sheet name="Raw_Data" sheetId="2" state="visible" r:id="rId4"/>
    <sheet name="Cleaning" sheetId="3" state="visible" r:id="rId5"/>
    <sheet name="Checks" sheetId="4" state="visible" r:id="rId6"/>
    <sheet name="Analysis" sheetId="5" state="visible" r:id="rId7"/>
    <sheet name="Report" sheetId="6" state="visible" r:id="rId8"/>
  </sheets>
  <definedNames>
    <definedName function="false" hidden="true" localSheetId="2" name="_xlnm._FilterDatabase" vbProcedure="false">Cleaning!$A$1:$L$157</definedName>
    <definedName function="false" hidden="true" localSheetId="1" name="_xlnm._FilterDatabase" vbProcedure="false">Raw_Data!$A$1:$H$157</definedName>
    <definedName function="false" hidden="false" localSheetId="5" name="_xlnm.Print_Area" vbProcedure="false">Report!$A$1:$M$55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<sst xmlns="http://schemas.openxmlformats.org/spreadsheetml/2006/main" count="1003" uniqueCount="383">
  <si>
    <t xml:space="preserve">Report Writer Project: Monthly Support Report</t>
  </si>
  <si>
    <t xml:space="preserve">From a blank brief to a finished report, every step shown in the workbook. Work left to right through the tabs.</t>
  </si>
  <si>
    <t xml:space="preserve">1. Project brief (step 1: understand what is needed)</t>
  </si>
  <si>
    <t xml:space="preserve">Report title</t>
  </si>
  <si>
    <t xml:space="preserve">Monthly Customer Support Report</t>
  </si>
  <si>
    <t xml:space="preserve">Period start</t>
  </si>
  <si>
    <t xml:space="preserve">Period end</t>
  </si>
  <si>
    <t xml:space="preserve">Audience</t>
  </si>
  <si>
    <t xml:space="preserve">Head of Customer Support</t>
  </si>
  <si>
    <t xml:space="preserve">Purpose</t>
  </si>
  <si>
    <t xml:space="preserve">Show how the support team performed this month and where to improve.</t>
  </si>
  <si>
    <t xml:space="preserve">Questions to answer</t>
  </si>
  <si>
    <t xml:space="preserve">1) How many tickets came in and how fast were they resolved? 2) Which categories drive volume? 3) How satisfied are customers, and which agents and weeks stand out?</t>
  </si>
  <si>
    <t xml:space="preserve">Data source</t>
  </si>
  <si>
    <t xml:space="preserve">Helpdesk ticket export, sample data (see Raw_Data tab)</t>
  </si>
  <si>
    <t xml:space="preserve">Prepared by</t>
  </si>
  <si>
    <t xml:space="preserve">Your name</t>
  </si>
  <si>
    <t xml:space="preserve">Deadline</t>
  </si>
  <si>
    <t xml:space="preserve">2. Settings and assumptions (change these and the report updates)</t>
  </si>
  <si>
    <t xml:space="preserve">Max plausible resolution hours</t>
  </si>
  <si>
    <t xml:space="preserve">Longer than 1 week is treated as a data error and left out of averages.</t>
  </si>
  <si>
    <t xml:space="preserve">Target avg resolution hours</t>
  </si>
  <si>
    <t xml:space="preserve">Team target (assumption for this sample project).</t>
  </si>
  <si>
    <t xml:space="preserve">Target avg satisfaction (1-5)</t>
  </si>
  <si>
    <t xml:space="preserve">3. Workflow (the 7 stages of a report)</t>
  </si>
  <si>
    <t xml:space="preserve">Stage</t>
  </si>
  <si>
    <t xml:space="preserve">What you do</t>
  </si>
  <si>
    <t xml:space="preserve">Tab</t>
  </si>
  <si>
    <t xml:space="preserve">Done?</t>
  </si>
  <si>
    <t xml:space="preserve">1. Understand the brief</t>
  </si>
  <si>
    <t xml:space="preserve">Agree audience, period, purpose and the questions the report must answer.</t>
  </si>
  <si>
    <t xml:space="preserve">Brief</t>
  </si>
  <si>
    <t xml:space="preserve">Yes</t>
  </si>
  <si>
    <t xml:space="preserve">2. Collect raw data</t>
  </si>
  <si>
    <t xml:space="preserve">Save the export exactly as received. Never edit it by hand.</t>
  </si>
  <si>
    <t xml:space="preserve">Raw_Data</t>
  </si>
  <si>
    <t xml:space="preserve">3. Clean the data</t>
  </si>
  <si>
    <t xml:space="preserve">Fix spaces and capitals, convert text dates, flag duplicates, blank bad values with formulas.</t>
  </si>
  <si>
    <t xml:space="preserve">Cleaning</t>
  </si>
  <si>
    <t xml:space="preserve">4. Check quality</t>
  </si>
  <si>
    <t xml:space="preserve">Log every problem found and prove that totals reconcile (PASS/FAIL).</t>
  </si>
  <si>
    <t xml:space="preserve">Checks</t>
  </si>
  <si>
    <t xml:space="preserve">5. Analyse</t>
  </si>
  <si>
    <t xml:space="preserve">Build the summary tables (by category, agent, priority, week).</t>
  </si>
  <si>
    <t xml:space="preserve">Analysis</t>
  </si>
  <si>
    <t xml:space="preserve">6. Write the report</t>
  </si>
  <si>
    <t xml:space="preserve">Turn the numbers into a one-page report: summary, charts, findings, recommendations.</t>
  </si>
  <si>
    <t xml:space="preserve">Report</t>
  </si>
  <si>
    <t xml:space="preserve">7. Review and deliver</t>
  </si>
  <si>
    <t xml:space="preserve">Complete the review checklist, export to PDF and send.</t>
  </si>
  <si>
    <t xml:space="preserve">No</t>
  </si>
  <si>
    <t xml:space="preserve">Colour code: blue = input you can change, black = formula, green = link from another tab, yellow = control cell.</t>
  </si>
  <si>
    <t xml:space="preserve">Ticket ID</t>
  </si>
  <si>
    <t xml:space="preserve">Date</t>
  </si>
  <si>
    <t xml:space="preserve">Agent</t>
  </si>
  <si>
    <t xml:space="preserve">Category</t>
  </si>
  <si>
    <t xml:space="preserve">Priority</t>
  </si>
  <si>
    <t xml:space="preserve">Status</t>
  </si>
  <si>
    <t xml:space="preserve">Resolution Hours</t>
  </si>
  <si>
    <t xml:space="preserve">CSAT (1-5)</t>
  </si>
  <si>
    <t xml:space="preserve">Raw export as received. It is deliberately messy: extra spaces, mixed capitals, dates stored as text, duplicates, blanks and impossible values. Do not edit; the Cleaning tab fixes everything with formulas.</t>
  </si>
  <si>
    <t xml:space="preserve">TKT-1001</t>
  </si>
  <si>
    <t xml:space="preserve"> Liam O'Brien</t>
  </si>
  <si>
    <t xml:space="preserve">Login Issue</t>
  </si>
  <si>
    <t xml:space="preserve">Low </t>
  </si>
  <si>
    <t xml:space="preserve">Escalated</t>
  </si>
  <si>
    <t xml:space="preserve">TKT-1002</t>
  </si>
  <si>
    <t xml:space="preserve">sofia rossi</t>
  </si>
  <si>
    <t xml:space="preserve">Billing</t>
  </si>
  <si>
    <t xml:space="preserve">Medium</t>
  </si>
  <si>
    <t xml:space="preserve">Resolved</t>
  </si>
  <si>
    <t xml:space="preserve">TKT-1003</t>
  </si>
  <si>
    <t xml:space="preserve">Sofia Rossi </t>
  </si>
  <si>
    <t xml:space="preserve">Feature Request</t>
  </si>
  <si>
    <t xml:space="preserve">TKT-1004</t>
  </si>
  <si>
    <t xml:space="preserve">ava johnson</t>
  </si>
  <si>
    <t xml:space="preserve">delivery</t>
  </si>
  <si>
    <t xml:space="preserve">Urgent</t>
  </si>
  <si>
    <t xml:space="preserve">Open</t>
  </si>
  <si>
    <t xml:space="preserve">TKT-1005</t>
  </si>
  <si>
    <t xml:space="preserve">liam o'brien</t>
  </si>
  <si>
    <t xml:space="preserve"> Delivery</t>
  </si>
  <si>
    <t xml:space="preserve"> High</t>
  </si>
  <si>
    <t xml:space="preserve">resolved</t>
  </si>
  <si>
    <t xml:space="preserve">TKT-1006</t>
  </si>
  <si>
    <t xml:space="preserve">MEDIUM</t>
  </si>
  <si>
    <t xml:space="preserve">Resolved </t>
  </si>
  <si>
    <t xml:space="preserve">TKT-1007</t>
  </si>
  <si>
    <t xml:space="preserve">Sofia Rossi</t>
  </si>
  <si>
    <t xml:space="preserve">billing</t>
  </si>
  <si>
    <t xml:space="preserve">Low</t>
  </si>
  <si>
    <t xml:space="preserve">TKT-1008</t>
  </si>
  <si>
    <t xml:space="preserve">DELIVERY</t>
  </si>
  <si>
    <t xml:space="preserve">TKT-1009</t>
  </si>
  <si>
    <t xml:space="preserve">Billing </t>
  </si>
  <si>
    <t xml:space="preserve"> Resolved</t>
  </si>
  <si>
    <t xml:space="preserve">TKT-1010</t>
  </si>
  <si>
    <t xml:space="preserve">maya patel</t>
  </si>
  <si>
    <t xml:space="preserve">URGENT</t>
  </si>
  <si>
    <t xml:space="preserve">RESOLVED</t>
  </si>
  <si>
    <t xml:space="preserve">TKT-1011</t>
  </si>
  <si>
    <t xml:space="preserve">Maya Patel </t>
  </si>
  <si>
    <t xml:space="preserve">Delivery </t>
  </si>
  <si>
    <t xml:space="preserve">high</t>
  </si>
  <si>
    <t xml:space="preserve">TKT-1012</t>
  </si>
  <si>
    <t xml:space="preserve">Maya Patel</t>
  </si>
  <si>
    <t xml:space="preserve">TKT-1013</t>
  </si>
  <si>
    <t xml:space="preserve">High </t>
  </si>
  <si>
    <t xml:space="preserve">OPEN</t>
  </si>
  <si>
    <t xml:space="preserve">TKT-1014</t>
  </si>
  <si>
    <t xml:space="preserve"> Ava Johnson</t>
  </si>
  <si>
    <t xml:space="preserve">Delivery</t>
  </si>
  <si>
    <t xml:space="preserve">Medium </t>
  </si>
  <si>
    <t xml:space="preserve">TKT-1015</t>
  </si>
  <si>
    <t xml:space="preserve">Ava Johnson </t>
  </si>
  <si>
    <t xml:space="preserve">low</t>
  </si>
  <si>
    <t xml:space="preserve">TKT-1016</t>
  </si>
  <si>
    <t xml:space="preserve">Bug Report</t>
  </si>
  <si>
    <t xml:space="preserve">TKT-1017</t>
  </si>
  <si>
    <t xml:space="preserve">Ava Johnson</t>
  </si>
  <si>
    <t xml:space="preserve">TKT-1018</t>
  </si>
  <si>
    <t xml:space="preserve">Bug Report </t>
  </si>
  <si>
    <t xml:space="preserve">TKT-1019</t>
  </si>
  <si>
    <t xml:space="preserve">Noah Kim</t>
  </si>
  <si>
    <t xml:space="preserve"> Low</t>
  </si>
  <si>
    <t xml:space="preserve">TKT-1020</t>
  </si>
  <si>
    <t xml:space="preserve">login issue</t>
  </si>
  <si>
    <t xml:space="preserve">TKT-1021</t>
  </si>
  <si>
    <t xml:space="preserve"> Noah Kim</t>
  </si>
  <si>
    <t xml:space="preserve">TKT-1022</t>
  </si>
  <si>
    <t xml:space="preserve"> Login Issue</t>
  </si>
  <si>
    <t xml:space="preserve">TKT-1023</t>
  </si>
  <si>
    <t xml:space="preserve">TKT-1024</t>
  </si>
  <si>
    <t xml:space="preserve"> Maya Patel</t>
  </si>
  <si>
    <t xml:space="preserve">TKT-1025</t>
  </si>
  <si>
    <t xml:space="preserve">Liam O'Brien</t>
  </si>
  <si>
    <t xml:space="preserve">BILLING</t>
  </si>
  <si>
    <t xml:space="preserve">TKT-1026</t>
  </si>
  <si>
    <t xml:space="preserve">TKT-1027</t>
  </si>
  <si>
    <t xml:space="preserve">2026-09-03</t>
  </si>
  <si>
    <t xml:space="preserve">TKT-1028</t>
  </si>
  <si>
    <t xml:space="preserve">TKT-1029</t>
  </si>
  <si>
    <t xml:space="preserve">TKT-1030</t>
  </si>
  <si>
    <t xml:space="preserve"> Sofia Rossi</t>
  </si>
  <si>
    <t xml:space="preserve"> Bug Report</t>
  </si>
  <si>
    <t xml:space="preserve">TKT-1031</t>
  </si>
  <si>
    <t xml:space="preserve">TKT-1032</t>
  </si>
  <si>
    <t xml:space="preserve">open</t>
  </si>
  <si>
    <t xml:space="preserve">TKT-1033</t>
  </si>
  <si>
    <t xml:space="preserve">AVA JOHNSON</t>
  </si>
  <si>
    <t xml:space="preserve">TKT-1034</t>
  </si>
  <si>
    <t xml:space="preserve">MAYA PATEL</t>
  </si>
  <si>
    <t xml:space="preserve">TKT-1035</t>
  </si>
  <si>
    <t xml:space="preserve">TKT-1036</t>
  </si>
  <si>
    <t xml:space="preserve">TKT-1037</t>
  </si>
  <si>
    <t xml:space="preserve">TKT-1038</t>
  </si>
  <si>
    <t xml:space="preserve">2026-09-05</t>
  </si>
  <si>
    <t xml:space="preserve">High</t>
  </si>
  <si>
    <t xml:space="preserve">TKT-1039</t>
  </si>
  <si>
    <t xml:space="preserve">TKT-1040</t>
  </si>
  <si>
    <t xml:space="preserve"> Medium</t>
  </si>
  <si>
    <t xml:space="preserve">escalated</t>
  </si>
  <si>
    <t xml:space="preserve">TKT-1041</t>
  </si>
  <si>
    <t xml:space="preserve">TKT-1042</t>
  </si>
  <si>
    <t xml:space="preserve">TKT-1043</t>
  </si>
  <si>
    <t xml:space="preserve">2026-09-07</t>
  </si>
  <si>
    <t xml:space="preserve">Escalated </t>
  </si>
  <si>
    <t xml:space="preserve">TKT-1044</t>
  </si>
  <si>
    <t xml:space="preserve">LIAM O'BRIEN</t>
  </si>
  <si>
    <t xml:space="preserve">TKT-1045</t>
  </si>
  <si>
    <t xml:space="preserve">TKT-1046</t>
  </si>
  <si>
    <t xml:space="preserve"> Billing</t>
  </si>
  <si>
    <t xml:space="preserve">TKT-1047</t>
  </si>
  <si>
    <t xml:space="preserve">TKT-1048</t>
  </si>
  <si>
    <t xml:space="preserve">TKT-1049</t>
  </si>
  <si>
    <t xml:space="preserve">2026-09-08</t>
  </si>
  <si>
    <t xml:space="preserve">bug report</t>
  </si>
  <si>
    <t xml:space="preserve">TKT-1050</t>
  </si>
  <si>
    <t xml:space="preserve">TKT-1051</t>
  </si>
  <si>
    <t xml:space="preserve">2026-09-09</t>
  </si>
  <si>
    <t xml:space="preserve">Login Issue </t>
  </si>
  <si>
    <t xml:space="preserve">TKT-1052</t>
  </si>
  <si>
    <t xml:space="preserve">Noah Kim </t>
  </si>
  <si>
    <t xml:space="preserve">medium</t>
  </si>
  <si>
    <t xml:space="preserve">TKT-1053</t>
  </si>
  <si>
    <t xml:space="preserve">TKT-1054</t>
  </si>
  <si>
    <t xml:space="preserve">TKT-1055</t>
  </si>
  <si>
    <t xml:space="preserve">TKT-1056</t>
  </si>
  <si>
    <t xml:space="preserve">NOAH KIM</t>
  </si>
  <si>
    <t xml:space="preserve">TKT-1057</t>
  </si>
  <si>
    <t xml:space="preserve">TKT-1058</t>
  </si>
  <si>
    <t xml:space="preserve">TKT-1059</t>
  </si>
  <si>
    <t xml:space="preserve">SOFIA ROSSI</t>
  </si>
  <si>
    <t xml:space="preserve">TKT-1060</t>
  </si>
  <si>
    <t xml:space="preserve">TKT-1061</t>
  </si>
  <si>
    <t xml:space="preserve">2026-09-10</t>
  </si>
  <si>
    <t xml:space="preserve">TKT-1062</t>
  </si>
  <si>
    <t xml:space="preserve">TKT-1063</t>
  </si>
  <si>
    <t xml:space="preserve">BUG REPORT</t>
  </si>
  <si>
    <t xml:space="preserve">TKT-1064</t>
  </si>
  <si>
    <t xml:space="preserve">TKT-1065</t>
  </si>
  <si>
    <t xml:space="preserve">TKT-1066</t>
  </si>
  <si>
    <t xml:space="preserve">TKT-1067</t>
  </si>
  <si>
    <t xml:space="preserve">2026-09-11</t>
  </si>
  <si>
    <t xml:space="preserve">TKT-1068</t>
  </si>
  <si>
    <t xml:space="preserve">TKT-1069</t>
  </si>
  <si>
    <t xml:space="preserve"> Feature Request</t>
  </si>
  <si>
    <t xml:space="preserve">TKT-1070</t>
  </si>
  <si>
    <t xml:space="preserve">TKT-1071</t>
  </si>
  <si>
    <t xml:space="preserve">FEATURE REQUEST</t>
  </si>
  <si>
    <t xml:space="preserve">TKT-1072</t>
  </si>
  <si>
    <t xml:space="preserve">TKT-1073</t>
  </si>
  <si>
    <t xml:space="preserve">TKT-1074</t>
  </si>
  <si>
    <t xml:space="preserve">TKT-1075</t>
  </si>
  <si>
    <t xml:space="preserve">LOGIN ISSUE</t>
  </si>
  <si>
    <t xml:space="preserve">TKT-1076</t>
  </si>
  <si>
    <t xml:space="preserve">TKT-1077</t>
  </si>
  <si>
    <t xml:space="preserve">TKT-1078</t>
  </si>
  <si>
    <t xml:space="preserve">TKT-1079</t>
  </si>
  <si>
    <t xml:space="preserve">TKT-1080</t>
  </si>
  <si>
    <t xml:space="preserve">urgent</t>
  </si>
  <si>
    <t xml:space="preserve">TKT-1081</t>
  </si>
  <si>
    <t xml:space="preserve">TKT-1082</t>
  </si>
  <si>
    <t xml:space="preserve">noah kim</t>
  </si>
  <si>
    <t xml:space="preserve">TKT-1083</t>
  </si>
  <si>
    <t xml:space="preserve">TKT-1084</t>
  </si>
  <si>
    <t xml:space="preserve">2026-09-15</t>
  </si>
  <si>
    <t xml:space="preserve">TKT-1085</t>
  </si>
  <si>
    <t xml:space="preserve">TKT-1086</t>
  </si>
  <si>
    <t xml:space="preserve">TKT-1087</t>
  </si>
  <si>
    <t xml:space="preserve">TKT-1088</t>
  </si>
  <si>
    <t xml:space="preserve">TKT-1089</t>
  </si>
  <si>
    <t xml:space="preserve">TKT-1090</t>
  </si>
  <si>
    <t xml:space="preserve">TKT-1091</t>
  </si>
  <si>
    <t xml:space="preserve">LOW</t>
  </si>
  <si>
    <t xml:space="preserve">TKT-1092</t>
  </si>
  <si>
    <t xml:space="preserve">TKT-1093</t>
  </si>
  <si>
    <t xml:space="preserve">TKT-1094</t>
  </si>
  <si>
    <t xml:space="preserve">TKT-1095</t>
  </si>
  <si>
    <t xml:space="preserve">TKT-1096</t>
  </si>
  <si>
    <t xml:space="preserve">TKT-1097</t>
  </si>
  <si>
    <t xml:space="preserve">TKT-1098</t>
  </si>
  <si>
    <t xml:space="preserve">TKT-1099</t>
  </si>
  <si>
    <t xml:space="preserve">2026-09-17</t>
  </si>
  <si>
    <t xml:space="preserve">TKT-1100</t>
  </si>
  <si>
    <t xml:space="preserve">TKT-1101</t>
  </si>
  <si>
    <t xml:space="preserve">TKT-1102</t>
  </si>
  <si>
    <t xml:space="preserve">TKT-1103</t>
  </si>
  <si>
    <t xml:space="preserve">TKT-1104</t>
  </si>
  <si>
    <t xml:space="preserve">TKT-1105</t>
  </si>
  <si>
    <t xml:space="preserve">TKT-1106</t>
  </si>
  <si>
    <t xml:space="preserve">HIGH</t>
  </si>
  <si>
    <t xml:space="preserve">TKT-1107</t>
  </si>
  <si>
    <t xml:space="preserve">TKT-1108</t>
  </si>
  <si>
    <t xml:space="preserve">Liam O'Brien </t>
  </si>
  <si>
    <t xml:space="preserve">TKT-1109</t>
  </si>
  <si>
    <t xml:space="preserve">TKT-1110</t>
  </si>
  <si>
    <t xml:space="preserve">TKT-1111</t>
  </si>
  <si>
    <t xml:space="preserve">TKT-1112</t>
  </si>
  <si>
    <t xml:space="preserve">TKT-1113</t>
  </si>
  <si>
    <t xml:space="preserve">TKT-1114</t>
  </si>
  <si>
    <t xml:space="preserve">TKT-1115</t>
  </si>
  <si>
    <t xml:space="preserve">TKT-1116</t>
  </si>
  <si>
    <t xml:space="preserve">TKT-1117</t>
  </si>
  <si>
    <t xml:space="preserve">TKT-1118</t>
  </si>
  <si>
    <t xml:space="preserve">TKT-1119</t>
  </si>
  <si>
    <t xml:space="preserve">feature request</t>
  </si>
  <si>
    <t xml:space="preserve">TKT-1120</t>
  </si>
  <si>
    <t xml:space="preserve">TKT-1121</t>
  </si>
  <si>
    <t xml:space="preserve">TKT-1122</t>
  </si>
  <si>
    <t xml:space="preserve">TKT-1123</t>
  </si>
  <si>
    <t xml:space="preserve">TKT-1124</t>
  </si>
  <si>
    <t xml:space="preserve">TKT-1125</t>
  </si>
  <si>
    <t xml:space="preserve">TKT-1126</t>
  </si>
  <si>
    <t xml:space="preserve">TKT-1127</t>
  </si>
  <si>
    <t xml:space="preserve">TKT-1128</t>
  </si>
  <si>
    <t xml:space="preserve">Urgent </t>
  </si>
  <si>
    <t xml:space="preserve">TKT-1129</t>
  </si>
  <si>
    <t xml:space="preserve">TKT-1130</t>
  </si>
  <si>
    <t xml:space="preserve">TKT-1131</t>
  </si>
  <si>
    <t xml:space="preserve">TKT-1132</t>
  </si>
  <si>
    <t xml:space="preserve">TKT-1133</t>
  </si>
  <si>
    <t xml:space="preserve">TKT-1134</t>
  </si>
  <si>
    <t xml:space="preserve">TKT-1135</t>
  </si>
  <si>
    <t xml:space="preserve">TKT-1136</t>
  </si>
  <si>
    <t xml:space="preserve">TKT-1137</t>
  </si>
  <si>
    <t xml:space="preserve">Feature Request </t>
  </si>
  <si>
    <t xml:space="preserve">TKT-1138</t>
  </si>
  <si>
    <t xml:space="preserve">TKT-1139</t>
  </si>
  <si>
    <t xml:space="preserve">TKT-1140</t>
  </si>
  <si>
    <t xml:space="preserve">TKT-1141</t>
  </si>
  <si>
    <t xml:space="preserve">TKT-1142</t>
  </si>
  <si>
    <t xml:space="preserve">TKT-1143</t>
  </si>
  <si>
    <t xml:space="preserve">TKT-1144</t>
  </si>
  <si>
    <t xml:space="preserve">TKT-1145</t>
  </si>
  <si>
    <t xml:space="preserve">TKT-1146</t>
  </si>
  <si>
    <t xml:space="preserve">TKT-1147</t>
  </si>
  <si>
    <t xml:space="preserve">TKT-1148</t>
  </si>
  <si>
    <t xml:space="preserve">TKT-1149</t>
  </si>
  <si>
    <t xml:space="preserve">TKT-1150</t>
  </si>
  <si>
    <t xml:space="preserve"> Escalated</t>
  </si>
  <si>
    <t xml:space="preserve">Hours</t>
  </si>
  <si>
    <t xml:space="preserve">CSAT</t>
  </si>
  <si>
    <t xml:space="preserve">Duplicate?</t>
  </si>
  <si>
    <t xml:space="preserve">Date fix</t>
  </si>
  <si>
    <t xml:space="preserve">Hours issue</t>
  </si>
  <si>
    <t xml:space="preserve">Keep (1/0)</t>
  </si>
  <si>
    <t xml:space="preserve">Every cell here is a formula pointing at Raw_Data. Red rows are duplicates (Keep = 0). To refresh with a new export, paste it over Raw_Data and copy the formulas down.</t>
  </si>
  <si>
    <t xml:space="preserve">Quality checks (step 4 and step 7)</t>
  </si>
  <si>
    <t xml:space="preserve">A. Data quality log: what was wrong with the raw export</t>
  </si>
  <si>
    <t xml:space="preserve">Issue</t>
  </si>
  <si>
    <t xml:space="preserve">Count</t>
  </si>
  <si>
    <t xml:space="preserve">What was done</t>
  </si>
  <si>
    <t xml:space="preserve">Rows received</t>
  </si>
  <si>
    <t xml:space="preserve">Rows in the raw export</t>
  </si>
  <si>
    <t xml:space="preserve">Duplicate tickets</t>
  </si>
  <si>
    <t xml:space="preserve">Excluded from the report (Keep = 0)</t>
  </si>
  <si>
    <t xml:space="preserve">Dates stored as text</t>
  </si>
  <si>
    <t xml:space="preserve">Converted to real dates</t>
  </si>
  <si>
    <t xml:space="preserve">Resolution time missing</t>
  </si>
  <si>
    <t xml:space="preserve">Resolved tickets with no time; left out of averages</t>
  </si>
  <si>
    <t xml:space="preserve">Resolution time impossible</t>
  </si>
  <si>
    <t xml:space="preserve">Above the maximum on the Brief tab; left out of averages</t>
  </si>
  <si>
    <t xml:space="preserve">Satisfaction score missing</t>
  </si>
  <si>
    <t xml:space="preserve">Resolved tickets with no score; left out of averages</t>
  </si>
  <si>
    <t xml:space="preserve">Rows used in the report</t>
  </si>
  <si>
    <t xml:space="preserve">Unique tickets</t>
  </si>
  <si>
    <t xml:space="preserve">B. Reconciliation checks: do the totals agree?</t>
  </si>
  <si>
    <t xml:space="preserve">Check</t>
  </si>
  <si>
    <t xml:space="preserve">Expected</t>
  </si>
  <si>
    <t xml:space="preserve">Actual</t>
  </si>
  <si>
    <t xml:space="preserve">Result</t>
  </si>
  <si>
    <t xml:space="preserve">Received minus duplicates = rows used</t>
  </si>
  <si>
    <t xml:space="preserve">Category table adds up to rows used</t>
  </si>
  <si>
    <t xml:space="preserve">Agent table adds up to rows used</t>
  </si>
  <si>
    <t xml:space="preserve">Priority table adds up to rows used</t>
  </si>
  <si>
    <t xml:space="preserve">Weekly table adds up to rows used</t>
  </si>
  <si>
    <t xml:space="preserve">Report headline tickets = Analysis</t>
  </si>
  <si>
    <t xml:space="preserve">Kept tickets dated outside the period</t>
  </si>
  <si>
    <t xml:space="preserve">Overall status</t>
  </si>
  <si>
    <t xml:space="preserve">C. Review checklist (tick off before sending)</t>
  </si>
  <si>
    <t xml:space="preserve">Item</t>
  </si>
  <si>
    <t xml:space="preserve">Numbers checked against the source system</t>
  </si>
  <si>
    <t xml:space="preserve">Spelling and grammar reviewed</t>
  </si>
  <si>
    <t xml:space="preserve">Chart titles and labels read out loud</t>
  </si>
  <si>
    <t xml:space="preserve">Peer review completed</t>
  </si>
  <si>
    <t xml:space="preserve">Report exported to PDF</t>
  </si>
  <si>
    <t xml:space="preserve">Report sent to the audience</t>
  </si>
  <si>
    <t xml:space="preserve">Analysis tables (step 5)</t>
  </si>
  <si>
    <t xml:space="preserve">Headline KPIs</t>
  </si>
  <si>
    <t xml:space="preserve">Weekly volume</t>
  </si>
  <si>
    <t xml:space="preserve">Total tickets</t>
  </si>
  <si>
    <t xml:space="preserve">Week</t>
  </si>
  <si>
    <t xml:space="preserve">Dates</t>
  </si>
  <si>
    <t xml:space="preserve">Tickets</t>
  </si>
  <si>
    <t xml:space="preserve">Start</t>
  </si>
  <si>
    <t xml:space="preserve">End</t>
  </si>
  <si>
    <t xml:space="preserve">Week 1</t>
  </si>
  <si>
    <t xml:space="preserve">Resolution rate</t>
  </si>
  <si>
    <t xml:space="preserve">Week 2</t>
  </si>
  <si>
    <t xml:space="preserve">Week 3</t>
  </si>
  <si>
    <t xml:space="preserve">Week 4</t>
  </si>
  <si>
    <t xml:space="preserve">Avg resolution hours</t>
  </si>
  <si>
    <t xml:space="preserve">Week 5</t>
  </si>
  <si>
    <t xml:space="preserve">Avg satisfaction (1-5)</t>
  </si>
  <si>
    <t xml:space="preserve">Total</t>
  </si>
  <si>
    <t xml:space="preserve">High + Urgent share</t>
  </si>
  <si>
    <t xml:space="preserve">By status</t>
  </si>
  <si>
    <t xml:space="preserve">By category</t>
  </si>
  <si>
    <t xml:space="preserve">Share</t>
  </si>
  <si>
    <t xml:space="preserve">Avg hours</t>
  </si>
  <si>
    <t xml:space="preserve">Avg CSAT</t>
  </si>
  <si>
    <t xml:space="preserve">By agent</t>
  </si>
  <si>
    <t xml:space="preserve">By priority</t>
  </si>
  <si>
    <t xml:space="preserve">Executive summary</t>
  </si>
  <si>
    <t xml:space="preserve">Avg resolution (hrs)</t>
  </si>
  <si>
    <t xml:space="preserve">Avg satisfaction</t>
  </si>
  <si>
    <t xml:space="preserve">Ticket volume</t>
  </si>
  <si>
    <t xml:space="preserve">Agent performance and priority mix</t>
  </si>
  <si>
    <t xml:space="preserve">Key findings</t>
  </si>
  <si>
    <t xml:space="preserve">Recommendations</t>
  </si>
  <si>
    <t xml:space="preserve">Notes on the data</t>
  </si>
  <si>
    <t xml:space="preserve">Averages use only tickets that have a value. All figures come from sample data created for demonstration.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</si>
</sst>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dd\ mmm\ yyyy"/>
    <numFmt numFmtId="166" formatCode="0.0"/>
    <numFmt numFmtId="167" formatCode="dd\-mmm\-yyyy"/>
    <numFmt numFmtId="168" formatCode="#,##0;\(#,##0\);\-"/>
    <numFmt numFmtId="169" formatCode="dd\-mmm"/>
    <numFmt numFmtId="170" formatCode="0.0%;\(0.0%\);\-"/>
    <numFmt numFmtId="171" formatCode="0.0;\(0.0\);\-"/>
    <numFmt numFmtId="172" formatCode="0.00"/>
    <numFmt numFmtId="173" formatCode="#,##0"/>
    <numFmt numFmtId="174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AF2F8"/>
        <bgColor rgb="FFFFFFFF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B"/>
      </left>
      <right style="thin">
        <color rgb="FFD0D5DB"/>
      </right>
      <top style="thin">
        <color rgb="FFD0D5DB"/>
      </top>
      <bottom style="thin">
        <color rgb="FFD0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C6EFCE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FCC"/>
      <rgbColor rgb="FFEAF2F8"/>
      <rgbColor rgb="FF660066"/>
      <rgbColor rgb="FFFF8080"/>
      <rgbColor rgb="FF0066CC"/>
      <rgbColor rgb="FFD0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2A9D8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Analysis!B15</c:f>
              <c:strCache>
                <c:ptCount val="1"/>
                <c:pt idx="0">
                  <c:v>Tickets</c:v>
                </c:pt>
              </c:strCache>
            </c:strRef>
          </c:tx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Analysis!$A$16:$A$20</c:f>
              <c:strCache>
                <c:ptCount val="5"/>
                <c:pt idx="0">
                  <c:v>Billing</c:v>
                </c:pt>
                <c:pt idx="1">
                  <c:v>Login Issue</c:v>
                </c:pt>
                <c:pt idx="2">
                  <c:v>Bug Report</c:v>
                </c:pt>
                <c:pt idx="3">
                  <c:v>Delivery</c:v>
                </c:pt>
                <c:pt idx="4">
                  <c:v>Feature Request</c:v>
                </c:pt>
              </c:strCache>
            </c:strRef>
          </c:cat>
          <c:val>
            <c:numRef>
              <c:f>Analysis!$B$16:$B$20</c:f>
              <c:numCache>
                <c:formatCode>#,##0;\(#,##0\);\-</c:formatCode>
                <c:ptCount val="5"/>
                <c:pt idx="0">
                  <c:v>61</c:v>
                </c:pt>
                <c:pt idx="1">
                  <c:v>25</c:v>
                </c:pt>
                <c:pt idx="2">
                  <c:v>25</c:v>
                </c:pt>
                <c:pt idx="3">
                  <c:v>28</c:v>
                </c:pt>
                <c:pt idx="4">
                  <c:v>11</c:v>
                </c:pt>
              </c:numCache>
            </c:numRef>
          </c:val>
        </c:ser>
        <c:gapWidth val="150"/>
        <c:overlap val="0"/>
        <c:axId val="42707545"/>
        <c:axId val="31047884"/>
      </c:barChart>
      <c:catAx>
        <c:axId val="427075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47884"/>
        <c:crosses val="autoZero"/>
        <c:auto val="1"/>
        <c:lblAlgn val="ctr"/>
        <c:lblOffset val="100"/>
        <c:noMultiLvlLbl val="0"/>
      </c:catAx>
      <c:valAx>
        <c:axId val="310478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7075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Tickets by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Analysis!I4</c:f>
              <c:strCache>
                <c:ptCount val="1"/>
                <c:pt idx="0">
                  <c:v>Tickets</c:v>
                </c:pt>
              </c:strCache>
            </c:strRef>
          </c:tx>
          <c:spPr>
            <a:solidFill>
              <a:srgbClr val="2a9d8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Analysis!$H$5:$H$9</c:f>
              <c:strCache>
                <c:ptCount val="5"/>
                <c:pt idx="0">
                  <c:v>1 Sep - 7 Sep</c:v>
                </c:pt>
                <c:pt idx="1">
                  <c:v>8 Sep - 14 Sep</c:v>
                </c:pt>
                <c:pt idx="2">
                  <c:v>15 Sep - 21 Sep</c:v>
                </c:pt>
                <c:pt idx="3">
                  <c:v>22 Sep - 28 Sep</c:v>
                </c:pt>
                <c:pt idx="4">
                  <c:v>29 Sep - 30 Sep</c:v>
                </c:pt>
              </c:strCache>
            </c:strRef>
          </c:cat>
          <c:val>
            <c:numRef>
              <c:f>Analysis!$I$5:$I$9</c:f>
              <c:numCache>
                <c:formatCode>#,##0;\(#,##0\);\-</c:formatCode>
                <c:ptCount val="5"/>
                <c:pt idx="0">
                  <c:v>43</c:v>
                </c:pt>
                <c:pt idx="1">
                  <c:v>39</c:v>
                </c:pt>
                <c:pt idx="2">
                  <c:v>33</c:v>
                </c:pt>
                <c:pt idx="3">
                  <c:v>27</c:v>
                </c:pt>
                <c:pt idx="4">
                  <c:v>8</c:v>
                </c:pt>
              </c:numCache>
            </c:numRef>
          </c:val>
        </c:ser>
        <c:gapWidth val="150"/>
        <c:overlap val="0"/>
        <c:axId val="41227006"/>
        <c:axId val="27580716"/>
      </c:barChart>
      <c:catAx>
        <c:axId val="412270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580716"/>
        <c:crosses val="autoZero"/>
        <c:auto val="1"/>
        <c:lblAlgn val="ctr"/>
        <c:lblOffset val="100"/>
        <c:noMultiLvlLbl val="0"/>
      </c:catAx>
      <c:valAx>
        <c:axId val="275807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270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100800</xdr:rowOff>
    </xdr:from>
    <xdr:to>
      <xdr:col>6</xdr:col>
      <xdr:colOff>18720</xdr:colOff>
      <xdr:row>26</xdr:row>
      <xdr:rowOff>25560</xdr:rowOff>
    </xdr:to>
    <xdr:graphicFrame>
      <xdr:nvGraphicFramePr>
        <xdr:cNvPr id="0" name="Chart 1"/>
        <xdr:cNvGraphicFramePr/>
      </xdr:nvGraphicFramePr>
      <xdr:xfrm>
        <a:off x="141120" y="3286080"/>
        <a:ext cx="4247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12</xdr:row>
      <xdr:rowOff>100800</xdr:rowOff>
    </xdr:from>
    <xdr:to>
      <xdr:col>11</xdr:col>
      <xdr:colOff>658800</xdr:colOff>
      <xdr:row>26</xdr:row>
      <xdr:rowOff>25560</xdr:rowOff>
    </xdr:to>
    <xdr:graphicFrame>
      <xdr:nvGraphicFramePr>
        <xdr:cNvPr id="1" name="Chart 2"/>
        <xdr:cNvGraphicFramePr/>
      </xdr:nvGraphicFramePr>
      <xdr:xfrm>
        <a:off x="4370040" y="3286080"/>
        <a:ext cx="4535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78"/>
    <col collapsed="false" customWidth="true" hidden="false" outlineLevel="0" max="4" min="4" style="0" width="14"/>
    <col collapsed="false" customWidth="true" hidden="false" outlineLevel="0" max="5" min="5" style="0" width="1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6" t="n">
        <v>46266</v>
      </c>
    </row>
    <row r="8" customFormat="false" ht="15" hidden="false" customHeight="false" outlineLevel="0" collapsed="false">
      <c r="B8" s="4" t="s">
        <v>6</v>
      </c>
      <c r="C8" s="6" t="n">
        <v>46295</v>
      </c>
    </row>
    <row r="9" customFormat="false" ht="15" hidden="false" customHeight="false" outlineLevel="0" collapsed="false">
      <c r="B9" s="4" t="s">
        <v>7</v>
      </c>
      <c r="C9" s="5" t="s">
        <v>8</v>
      </c>
    </row>
    <row r="10" customFormat="false" ht="27.75" hidden="false" customHeight="true" outlineLevel="0" collapsed="false">
      <c r="B10" s="4" t="s">
        <v>9</v>
      </c>
      <c r="C10" s="5" t="s">
        <v>10</v>
      </c>
    </row>
    <row r="11" customFormat="false" ht="43.5" hidden="false" customHeight="true" outlineLevel="0" collapsed="false">
      <c r="B11" s="4" t="s">
        <v>11</v>
      </c>
      <c r="C11" s="5" t="s">
        <v>12</v>
      </c>
    </row>
    <row r="12" customFormat="false" ht="15" hidden="false" customHeight="false" outlineLevel="0" collapsed="false">
      <c r="B12" s="4" t="s">
        <v>13</v>
      </c>
      <c r="C12" s="5" t="s">
        <v>14</v>
      </c>
    </row>
    <row r="13" customFormat="false" ht="15" hidden="false" customHeight="false" outlineLevel="0" collapsed="false">
      <c r="B13" s="4" t="s">
        <v>15</v>
      </c>
      <c r="C13" s="5" t="s">
        <v>16</v>
      </c>
    </row>
    <row r="14" customFormat="false" ht="15" hidden="false" customHeight="false" outlineLevel="0" collapsed="false">
      <c r="B14" s="4" t="s">
        <v>17</v>
      </c>
      <c r="C14" s="6" t="n">
        <v>46311</v>
      </c>
    </row>
    <row r="16" customFormat="false" ht="15" hidden="false" customHeight="false" outlineLevel="0" collapsed="false">
      <c r="B16" s="3" t="s">
        <v>18</v>
      </c>
    </row>
    <row r="17" customFormat="false" ht="15" hidden="false" customHeight="false" outlineLevel="0" collapsed="false">
      <c r="B17" s="4" t="s">
        <v>19</v>
      </c>
      <c r="C17" s="7" t="n">
        <v>168</v>
      </c>
      <c r="D17" s="2" t="s">
        <v>20</v>
      </c>
    </row>
    <row r="18" customFormat="false" ht="15" hidden="false" customHeight="false" outlineLevel="0" collapsed="false">
      <c r="B18" s="4" t="s">
        <v>21</v>
      </c>
      <c r="C18" s="7" t="n">
        <v>24</v>
      </c>
      <c r="D18" s="2" t="s">
        <v>22</v>
      </c>
    </row>
    <row r="19" customFormat="false" ht="15" hidden="false" customHeight="false" outlineLevel="0" collapsed="false">
      <c r="B19" s="4" t="s">
        <v>23</v>
      </c>
      <c r="C19" s="8" t="n">
        <v>4</v>
      </c>
      <c r="D19" s="2" t="s">
        <v>22</v>
      </c>
    </row>
    <row r="21" customFormat="false" ht="15" hidden="false" customHeight="false" outlineLevel="0" collapsed="false">
      <c r="B21" s="3" t="s">
        <v>24</v>
      </c>
    </row>
    <row r="22" customFormat="false" ht="15" hidden="false" customHeight="false" outlineLevel="0" collapsed="false">
      <c r="B22" s="9" t="s">
        <v>25</v>
      </c>
      <c r="C22" s="9" t="s">
        <v>26</v>
      </c>
      <c r="D22" s="9" t="s">
        <v>27</v>
      </c>
      <c r="E22" s="9" t="s">
        <v>28</v>
      </c>
    </row>
    <row r="23" customFormat="false" ht="27.75" hidden="false" customHeight="true" outlineLevel="0" collapsed="false">
      <c r="B23" s="10" t="s">
        <v>29</v>
      </c>
      <c r="C23" s="11" t="s">
        <v>30</v>
      </c>
      <c r="D23" s="11" t="s">
        <v>31</v>
      </c>
      <c r="E23" s="12" t="s">
        <v>32</v>
      </c>
    </row>
    <row r="24" customFormat="false" ht="27.75" hidden="false" customHeight="true" outlineLevel="0" collapsed="false">
      <c r="B24" s="10" t="s">
        <v>33</v>
      </c>
      <c r="C24" s="11" t="s">
        <v>34</v>
      </c>
      <c r="D24" s="11" t="s">
        <v>35</v>
      </c>
      <c r="E24" s="12" t="s">
        <v>32</v>
      </c>
    </row>
    <row r="25" customFormat="false" ht="27.75" hidden="false" customHeight="true" outlineLevel="0" collapsed="false">
      <c r="B25" s="10" t="s">
        <v>36</v>
      </c>
      <c r="C25" s="11" t="s">
        <v>37</v>
      </c>
      <c r="D25" s="11" t="s">
        <v>38</v>
      </c>
      <c r="E25" s="12" t="s">
        <v>32</v>
      </c>
    </row>
    <row r="26" customFormat="false" ht="27.75" hidden="false" customHeight="true" outlineLevel="0" collapsed="false">
      <c r="B26" s="10" t="s">
        <v>39</v>
      </c>
      <c r="C26" s="11" t="s">
        <v>40</v>
      </c>
      <c r="D26" s="11" t="s">
        <v>41</v>
      </c>
      <c r="E26" s="12" t="s">
        <v>32</v>
      </c>
    </row>
    <row r="27" customFormat="false" ht="27.75" hidden="false" customHeight="true" outlineLevel="0" collapsed="false">
      <c r="B27" s="10" t="s">
        <v>42</v>
      </c>
      <c r="C27" s="11" t="s">
        <v>43</v>
      </c>
      <c r="D27" s="11" t="s">
        <v>44</v>
      </c>
      <c r="E27" s="12" t="s">
        <v>32</v>
      </c>
    </row>
    <row r="28" customFormat="false" ht="27.75" hidden="false" customHeight="true" outlineLevel="0" collapsed="false">
      <c r="B28" s="10" t="s">
        <v>45</v>
      </c>
      <c r="C28" s="11" t="s">
        <v>46</v>
      </c>
      <c r="D28" s="11" t="s">
        <v>47</v>
      </c>
      <c r="E28" s="12" t="s">
        <v>32</v>
      </c>
    </row>
    <row r="29" customFormat="false" ht="27.75" hidden="false" customHeight="true" outlineLevel="0" collapsed="false">
      <c r="B29" s="10" t="s">
        <v>48</v>
      </c>
      <c r="C29" s="11" t="s">
        <v>49</v>
      </c>
      <c r="D29" s="11" t="s">
        <v>41</v>
      </c>
      <c r="E29" s="12" t="s">
        <v>50</v>
      </c>
    </row>
    <row r="31" customFormat="false" ht="15" hidden="false" customHeight="false" outlineLevel="0" collapsed="false">
      <c r="B31" s="2" t="s">
        <v>51</v>
      </c>
    </row>
  </sheetData>
  <conditionalFormatting sqref="E23:E29">
    <cfRule type="expression" priority="2" aboveAverage="0" equalAverage="0" bottom="0" percent="0" rank="0" text="" dxfId="0">
      <formula>E23="Yes"</formula>
    </cfRule>
  </conditionalFormatting>
  <dataValidations count="1">
    <dataValidation allowBlank="false" errorStyle="stop" operator="between" showDropDown="false" showErrorMessage="false" showInputMessage="false" sqref="E23:E2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10" style="0" width="60"/>
  </cols>
  <sheetData>
    <row r="1" customFormat="false" ht="63.75" hidden="false" customHeight="true" outlineLevel="0" collapsed="false">
      <c r="A1" s="9" t="s">
        <v>52</v>
      </c>
      <c r="B1" s="9" t="s">
        <v>53</v>
      </c>
      <c r="C1" s="9" t="s">
        <v>54</v>
      </c>
      <c r="D1" s="9" t="s">
        <v>55</v>
      </c>
      <c r="E1" s="9" t="s">
        <v>56</v>
      </c>
      <c r="F1" s="9" t="s">
        <v>57</v>
      </c>
      <c r="G1" s="9" t="s">
        <v>58</v>
      </c>
      <c r="H1" s="9" t="s">
        <v>59</v>
      </c>
      <c r="J1" s="13" t="s">
        <v>60</v>
      </c>
    </row>
    <row r="2" customFormat="false" ht="15" hidden="false" customHeight="false" outlineLevel="0" collapsed="false">
      <c r="A2" s="14" t="s">
        <v>61</v>
      </c>
      <c r="B2" s="15" t="n">
        <v>46266</v>
      </c>
      <c r="C2" s="14" t="s">
        <v>62</v>
      </c>
      <c r="D2" s="14" t="s">
        <v>63</v>
      </c>
      <c r="E2" s="14" t="s">
        <v>64</v>
      </c>
      <c r="F2" s="14" t="s">
        <v>65</v>
      </c>
      <c r="G2" s="14"/>
      <c r="H2" s="14"/>
    </row>
    <row r="3" customFormat="false" ht="15" hidden="false" customHeight="false" outlineLevel="0" collapsed="false">
      <c r="A3" s="14" t="s">
        <v>66</v>
      </c>
      <c r="B3" s="15" t="n">
        <v>46266</v>
      </c>
      <c r="C3" s="14" t="s">
        <v>67</v>
      </c>
      <c r="D3" s="14" t="s">
        <v>68</v>
      </c>
      <c r="E3" s="14" t="s">
        <v>69</v>
      </c>
      <c r="F3" s="14" t="s">
        <v>70</v>
      </c>
      <c r="G3" s="14" t="n">
        <v>57.6</v>
      </c>
      <c r="H3" s="14" t="n">
        <v>3</v>
      </c>
    </row>
    <row r="4" customFormat="false" ht="15" hidden="false" customHeight="false" outlineLevel="0" collapsed="false">
      <c r="A4" s="14" t="s">
        <v>71</v>
      </c>
      <c r="B4" s="15" t="n">
        <v>46266</v>
      </c>
      <c r="C4" s="14" t="s">
        <v>72</v>
      </c>
      <c r="D4" s="14" t="s">
        <v>73</v>
      </c>
      <c r="E4" s="14" t="s">
        <v>69</v>
      </c>
      <c r="F4" s="14" t="s">
        <v>70</v>
      </c>
      <c r="G4" s="14" t="n">
        <v>20.1</v>
      </c>
      <c r="H4" s="14" t="n">
        <v>3</v>
      </c>
    </row>
    <row r="5" customFormat="false" ht="15" hidden="false" customHeight="false" outlineLevel="0" collapsed="false">
      <c r="A5" s="14" t="s">
        <v>74</v>
      </c>
      <c r="B5" s="15" t="n">
        <v>46266</v>
      </c>
      <c r="C5" s="14" t="s">
        <v>75</v>
      </c>
      <c r="D5" s="14" t="s">
        <v>76</v>
      </c>
      <c r="E5" s="14" t="s">
        <v>77</v>
      </c>
      <c r="F5" s="14" t="s">
        <v>78</v>
      </c>
      <c r="G5" s="14"/>
      <c r="H5" s="14"/>
    </row>
    <row r="6" customFormat="false" ht="15" hidden="false" customHeight="false" outlineLevel="0" collapsed="false">
      <c r="A6" s="14" t="s">
        <v>79</v>
      </c>
      <c r="B6" s="15" t="n">
        <v>46266</v>
      </c>
      <c r="C6" s="14" t="s">
        <v>80</v>
      </c>
      <c r="D6" s="14" t="s">
        <v>81</v>
      </c>
      <c r="E6" s="14" t="s">
        <v>82</v>
      </c>
      <c r="F6" s="14" t="s">
        <v>83</v>
      </c>
      <c r="G6" s="14" t="n">
        <v>7.4</v>
      </c>
      <c r="H6" s="14" t="n">
        <v>5</v>
      </c>
    </row>
    <row r="7" customFormat="false" ht="15" hidden="false" customHeight="false" outlineLevel="0" collapsed="false">
      <c r="A7" s="14" t="s">
        <v>84</v>
      </c>
      <c r="B7" s="15" t="n">
        <v>46266</v>
      </c>
      <c r="C7" s="14" t="s">
        <v>72</v>
      </c>
      <c r="D7" s="14" t="s">
        <v>68</v>
      </c>
      <c r="E7" s="14" t="s">
        <v>85</v>
      </c>
      <c r="F7" s="14" t="s">
        <v>86</v>
      </c>
      <c r="G7" s="14" t="n">
        <v>48.8</v>
      </c>
      <c r="H7" s="14" t="n">
        <v>3</v>
      </c>
    </row>
    <row r="8" customFormat="false" ht="15" hidden="false" customHeight="false" outlineLevel="0" collapsed="false">
      <c r="A8" s="14" t="s">
        <v>87</v>
      </c>
      <c r="B8" s="15" t="n">
        <v>46267</v>
      </c>
      <c r="C8" s="14" t="s">
        <v>88</v>
      </c>
      <c r="D8" s="14" t="s">
        <v>89</v>
      </c>
      <c r="E8" s="14" t="s">
        <v>90</v>
      </c>
      <c r="F8" s="14" t="s">
        <v>70</v>
      </c>
      <c r="G8" s="14" t="n">
        <v>21</v>
      </c>
      <c r="H8" s="14"/>
    </row>
    <row r="9" customFormat="false" ht="15" hidden="false" customHeight="false" outlineLevel="0" collapsed="false">
      <c r="A9" s="14" t="s">
        <v>91</v>
      </c>
      <c r="B9" s="15" t="n">
        <v>46267</v>
      </c>
      <c r="C9" s="14" t="s">
        <v>88</v>
      </c>
      <c r="D9" s="14" t="s">
        <v>92</v>
      </c>
      <c r="E9" s="14" t="s">
        <v>64</v>
      </c>
      <c r="F9" s="14" t="s">
        <v>83</v>
      </c>
      <c r="G9" s="14" t="n">
        <v>41.5</v>
      </c>
      <c r="H9" s="14" t="n">
        <v>3</v>
      </c>
    </row>
    <row r="10" customFormat="false" ht="15" hidden="false" customHeight="false" outlineLevel="0" collapsed="false">
      <c r="A10" s="14" t="s">
        <v>93</v>
      </c>
      <c r="B10" s="15" t="n">
        <v>46267</v>
      </c>
      <c r="C10" s="14" t="s">
        <v>88</v>
      </c>
      <c r="D10" s="14" t="s">
        <v>94</v>
      </c>
      <c r="E10" s="14" t="s">
        <v>77</v>
      </c>
      <c r="F10" s="14" t="s">
        <v>95</v>
      </c>
      <c r="G10" s="14" t="n">
        <v>5.5</v>
      </c>
      <c r="H10" s="14" t="n">
        <v>5</v>
      </c>
    </row>
    <row r="11" customFormat="false" ht="15" hidden="false" customHeight="false" outlineLevel="0" collapsed="false">
      <c r="A11" s="14" t="s">
        <v>96</v>
      </c>
      <c r="B11" s="15" t="n">
        <v>46267</v>
      </c>
      <c r="C11" s="14" t="s">
        <v>97</v>
      </c>
      <c r="D11" s="14" t="s">
        <v>94</v>
      </c>
      <c r="E11" s="14" t="s">
        <v>98</v>
      </c>
      <c r="F11" s="14" t="s">
        <v>99</v>
      </c>
      <c r="G11" s="14" t="n">
        <v>3.8</v>
      </c>
      <c r="H11" s="14" t="n">
        <v>5</v>
      </c>
    </row>
    <row r="12" customFormat="false" ht="15" hidden="false" customHeight="false" outlineLevel="0" collapsed="false">
      <c r="A12" s="14" t="s">
        <v>100</v>
      </c>
      <c r="B12" s="15" t="n">
        <v>46267</v>
      </c>
      <c r="C12" s="14" t="s">
        <v>101</v>
      </c>
      <c r="D12" s="14" t="s">
        <v>102</v>
      </c>
      <c r="E12" s="14" t="s">
        <v>103</v>
      </c>
      <c r="F12" s="14" t="s">
        <v>95</v>
      </c>
      <c r="G12" s="14" t="n">
        <v>11.5</v>
      </c>
      <c r="H12" s="14" t="n">
        <v>5</v>
      </c>
    </row>
    <row r="13" customFormat="false" ht="15" hidden="false" customHeight="false" outlineLevel="0" collapsed="false">
      <c r="A13" s="14" t="s">
        <v>104</v>
      </c>
      <c r="B13" s="15" t="n">
        <v>46267</v>
      </c>
      <c r="C13" s="14" t="s">
        <v>105</v>
      </c>
      <c r="D13" s="14" t="s">
        <v>94</v>
      </c>
      <c r="E13" s="14" t="s">
        <v>64</v>
      </c>
      <c r="F13" s="14" t="s">
        <v>86</v>
      </c>
      <c r="G13" s="14" t="n">
        <v>24.3</v>
      </c>
      <c r="H13" s="14" t="n">
        <v>4</v>
      </c>
    </row>
    <row r="14" customFormat="false" ht="15" hidden="false" customHeight="false" outlineLevel="0" collapsed="false">
      <c r="A14" s="14" t="s">
        <v>106</v>
      </c>
      <c r="B14" s="15" t="n">
        <v>46267</v>
      </c>
      <c r="C14" s="14" t="s">
        <v>62</v>
      </c>
      <c r="D14" s="14" t="s">
        <v>94</v>
      </c>
      <c r="E14" s="14" t="s">
        <v>107</v>
      </c>
      <c r="F14" s="14" t="s">
        <v>108</v>
      </c>
      <c r="G14" s="14"/>
      <c r="H14" s="14"/>
    </row>
    <row r="15" customFormat="false" ht="15" hidden="false" customHeight="false" outlineLevel="0" collapsed="false">
      <c r="A15" s="14" t="s">
        <v>109</v>
      </c>
      <c r="B15" s="15" t="n">
        <v>46267</v>
      </c>
      <c r="C15" s="14" t="s">
        <v>110</v>
      </c>
      <c r="D15" s="14" t="s">
        <v>111</v>
      </c>
      <c r="E15" s="14" t="s">
        <v>112</v>
      </c>
      <c r="F15" s="14" t="s">
        <v>78</v>
      </c>
      <c r="G15" s="14"/>
      <c r="H15" s="14"/>
    </row>
    <row r="16" customFormat="false" ht="15" hidden="false" customHeight="false" outlineLevel="0" collapsed="false">
      <c r="A16" s="14" t="s">
        <v>113</v>
      </c>
      <c r="B16" s="15" t="n">
        <v>46267</v>
      </c>
      <c r="C16" s="14" t="s">
        <v>114</v>
      </c>
      <c r="D16" s="14" t="s">
        <v>68</v>
      </c>
      <c r="E16" s="14" t="s">
        <v>115</v>
      </c>
      <c r="F16" s="14" t="s">
        <v>83</v>
      </c>
      <c r="G16" s="14" t="n">
        <v>23.3</v>
      </c>
      <c r="H16" s="14" t="n">
        <v>4</v>
      </c>
    </row>
    <row r="17" customFormat="false" ht="15" hidden="false" customHeight="false" outlineLevel="0" collapsed="false">
      <c r="A17" s="14" t="s">
        <v>116</v>
      </c>
      <c r="B17" s="15" t="n">
        <v>46267</v>
      </c>
      <c r="C17" s="14" t="s">
        <v>105</v>
      </c>
      <c r="D17" s="14" t="s">
        <v>117</v>
      </c>
      <c r="E17" s="14" t="s">
        <v>112</v>
      </c>
      <c r="F17" s="14" t="s">
        <v>86</v>
      </c>
      <c r="G17" s="14" t="n">
        <v>18.7</v>
      </c>
      <c r="H17" s="14"/>
    </row>
    <row r="18" customFormat="false" ht="15" hidden="false" customHeight="false" outlineLevel="0" collapsed="false">
      <c r="A18" s="14" t="s">
        <v>118</v>
      </c>
      <c r="B18" s="15" t="n">
        <v>46267</v>
      </c>
      <c r="C18" s="14" t="s">
        <v>119</v>
      </c>
      <c r="D18" s="14" t="s">
        <v>89</v>
      </c>
      <c r="E18" s="14" t="s">
        <v>90</v>
      </c>
      <c r="F18" s="14" t="s">
        <v>95</v>
      </c>
      <c r="G18" s="14" t="n">
        <v>8.2</v>
      </c>
      <c r="H18" s="14"/>
    </row>
    <row r="19" customFormat="false" ht="15" hidden="false" customHeight="false" outlineLevel="0" collapsed="false">
      <c r="A19" s="14" t="s">
        <v>120</v>
      </c>
      <c r="B19" s="15" t="n">
        <v>46267</v>
      </c>
      <c r="C19" s="14" t="s">
        <v>67</v>
      </c>
      <c r="D19" s="14" t="s">
        <v>121</v>
      </c>
      <c r="E19" s="14" t="s">
        <v>112</v>
      </c>
      <c r="F19" s="14" t="s">
        <v>86</v>
      </c>
      <c r="G19" s="14" t="n">
        <v>25.4</v>
      </c>
      <c r="H19" s="14" t="n">
        <v>4</v>
      </c>
    </row>
    <row r="20" customFormat="false" ht="15" hidden="false" customHeight="false" outlineLevel="0" collapsed="false">
      <c r="A20" s="14" t="s">
        <v>122</v>
      </c>
      <c r="B20" s="15" t="n">
        <v>46267</v>
      </c>
      <c r="C20" s="14" t="s">
        <v>123</v>
      </c>
      <c r="D20" s="14" t="s">
        <v>63</v>
      </c>
      <c r="E20" s="14" t="s">
        <v>124</v>
      </c>
      <c r="F20" s="14" t="s">
        <v>83</v>
      </c>
      <c r="G20" s="14" t="n">
        <v>13.9</v>
      </c>
      <c r="H20" s="14" t="n">
        <v>4</v>
      </c>
    </row>
    <row r="21" customFormat="false" ht="15" hidden="false" customHeight="false" outlineLevel="0" collapsed="false">
      <c r="A21" s="14" t="s">
        <v>125</v>
      </c>
      <c r="B21" s="15" t="n">
        <v>46268</v>
      </c>
      <c r="C21" s="14" t="s">
        <v>80</v>
      </c>
      <c r="D21" s="14" t="s">
        <v>126</v>
      </c>
      <c r="E21" s="14" t="s">
        <v>90</v>
      </c>
      <c r="F21" s="14" t="s">
        <v>99</v>
      </c>
      <c r="G21" s="14" t="n">
        <v>15.1</v>
      </c>
      <c r="H21" s="14" t="n">
        <v>5</v>
      </c>
    </row>
    <row r="22" customFormat="false" ht="15" hidden="false" customHeight="false" outlineLevel="0" collapsed="false">
      <c r="A22" s="14" t="s">
        <v>127</v>
      </c>
      <c r="B22" s="15" t="n">
        <v>46268</v>
      </c>
      <c r="C22" s="14" t="s">
        <v>128</v>
      </c>
      <c r="D22" s="14" t="s">
        <v>89</v>
      </c>
      <c r="E22" s="14" t="s">
        <v>98</v>
      </c>
      <c r="F22" s="14" t="s">
        <v>86</v>
      </c>
      <c r="G22" s="14" t="n">
        <v>1.7</v>
      </c>
      <c r="H22" s="14" t="n">
        <v>5</v>
      </c>
    </row>
    <row r="23" customFormat="false" ht="15" hidden="false" customHeight="false" outlineLevel="0" collapsed="false">
      <c r="A23" s="14" t="s">
        <v>129</v>
      </c>
      <c r="B23" s="15" t="n">
        <v>46268</v>
      </c>
      <c r="C23" s="14" t="s">
        <v>114</v>
      </c>
      <c r="D23" s="14" t="s">
        <v>130</v>
      </c>
      <c r="E23" s="14" t="s">
        <v>69</v>
      </c>
      <c r="F23" s="14" t="s">
        <v>86</v>
      </c>
      <c r="G23" s="14" t="n">
        <v>6</v>
      </c>
      <c r="H23" s="14" t="n">
        <v>4</v>
      </c>
    </row>
    <row r="24" customFormat="false" ht="15" hidden="false" customHeight="false" outlineLevel="0" collapsed="false">
      <c r="A24" s="14" t="s">
        <v>131</v>
      </c>
      <c r="B24" s="15" t="n">
        <v>46268</v>
      </c>
      <c r="C24" s="14" t="s">
        <v>123</v>
      </c>
      <c r="D24" s="14" t="s">
        <v>130</v>
      </c>
      <c r="E24" s="14" t="s">
        <v>90</v>
      </c>
      <c r="F24" s="14" t="s">
        <v>83</v>
      </c>
      <c r="G24" s="14" t="n">
        <v>27.4</v>
      </c>
      <c r="H24" s="14" t="n">
        <v>5</v>
      </c>
    </row>
    <row r="25" customFormat="false" ht="15" hidden="false" customHeight="false" outlineLevel="0" collapsed="false">
      <c r="A25" s="14" t="s">
        <v>132</v>
      </c>
      <c r="B25" s="15" t="n">
        <v>46268</v>
      </c>
      <c r="C25" s="14" t="s">
        <v>133</v>
      </c>
      <c r="D25" s="14" t="s">
        <v>89</v>
      </c>
      <c r="E25" s="14" t="s">
        <v>90</v>
      </c>
      <c r="F25" s="14" t="s">
        <v>78</v>
      </c>
      <c r="G25" s="14"/>
      <c r="H25" s="14"/>
    </row>
    <row r="26" customFormat="false" ht="15" hidden="false" customHeight="false" outlineLevel="0" collapsed="false">
      <c r="A26" s="14" t="s">
        <v>134</v>
      </c>
      <c r="B26" s="15" t="n">
        <v>46268</v>
      </c>
      <c r="C26" s="14" t="s">
        <v>135</v>
      </c>
      <c r="D26" s="14" t="s">
        <v>136</v>
      </c>
      <c r="E26" s="14" t="s">
        <v>90</v>
      </c>
      <c r="F26" s="14" t="s">
        <v>70</v>
      </c>
      <c r="G26" s="14" t="n">
        <v>999</v>
      </c>
      <c r="H26" s="14" t="n">
        <v>5</v>
      </c>
    </row>
    <row r="27" customFormat="false" ht="15" hidden="false" customHeight="false" outlineLevel="0" collapsed="false">
      <c r="A27" s="14" t="s">
        <v>137</v>
      </c>
      <c r="B27" s="15" t="n">
        <v>46268</v>
      </c>
      <c r="C27" s="14" t="s">
        <v>114</v>
      </c>
      <c r="D27" s="14" t="s">
        <v>130</v>
      </c>
      <c r="E27" s="14" t="s">
        <v>69</v>
      </c>
      <c r="F27" s="14" t="s">
        <v>99</v>
      </c>
      <c r="G27" s="14" t="n">
        <v>14.4</v>
      </c>
      <c r="H27" s="14"/>
    </row>
    <row r="28" customFormat="false" ht="15" hidden="false" customHeight="false" outlineLevel="0" collapsed="false">
      <c r="A28" s="14" t="s">
        <v>138</v>
      </c>
      <c r="B28" s="14" t="s">
        <v>139</v>
      </c>
      <c r="C28" s="14" t="s">
        <v>105</v>
      </c>
      <c r="D28" s="14" t="s">
        <v>111</v>
      </c>
      <c r="E28" s="14" t="s">
        <v>124</v>
      </c>
      <c r="F28" s="14" t="s">
        <v>108</v>
      </c>
      <c r="G28" s="14"/>
      <c r="H28" s="14"/>
    </row>
    <row r="29" customFormat="false" ht="15" hidden="false" customHeight="false" outlineLevel="0" collapsed="false">
      <c r="A29" s="14" t="s">
        <v>140</v>
      </c>
      <c r="B29" s="15" t="n">
        <v>46268</v>
      </c>
      <c r="C29" s="14" t="s">
        <v>97</v>
      </c>
      <c r="D29" s="14" t="s">
        <v>136</v>
      </c>
      <c r="E29" s="14" t="s">
        <v>90</v>
      </c>
      <c r="F29" s="14" t="s">
        <v>86</v>
      </c>
      <c r="G29" s="14" t="n">
        <v>45.6</v>
      </c>
      <c r="H29" s="14" t="n">
        <v>3</v>
      </c>
    </row>
    <row r="30" customFormat="false" ht="15" hidden="false" customHeight="false" outlineLevel="0" collapsed="false">
      <c r="A30" s="14" t="s">
        <v>141</v>
      </c>
      <c r="B30" s="15" t="n">
        <v>46269</v>
      </c>
      <c r="C30" s="14" t="s">
        <v>75</v>
      </c>
      <c r="D30" s="14" t="s">
        <v>136</v>
      </c>
      <c r="E30" s="14" t="s">
        <v>69</v>
      </c>
      <c r="F30" s="14" t="s">
        <v>86</v>
      </c>
      <c r="G30" s="14" t="n">
        <v>7</v>
      </c>
      <c r="H30" s="14" t="n">
        <v>5</v>
      </c>
    </row>
    <row r="31" customFormat="false" ht="15" hidden="false" customHeight="false" outlineLevel="0" collapsed="false">
      <c r="A31" s="14" t="s">
        <v>142</v>
      </c>
      <c r="B31" s="15" t="n">
        <v>46269</v>
      </c>
      <c r="C31" s="14" t="s">
        <v>143</v>
      </c>
      <c r="D31" s="14" t="s">
        <v>144</v>
      </c>
      <c r="E31" s="14" t="s">
        <v>90</v>
      </c>
      <c r="F31" s="14" t="s">
        <v>99</v>
      </c>
      <c r="G31" s="14" t="n">
        <v>33.7</v>
      </c>
      <c r="H31" s="14" t="n">
        <v>4</v>
      </c>
    </row>
    <row r="32" customFormat="false" ht="15" hidden="false" customHeight="false" outlineLevel="0" collapsed="false">
      <c r="A32" s="14" t="s">
        <v>145</v>
      </c>
      <c r="B32" s="15" t="n">
        <v>46269</v>
      </c>
      <c r="C32" s="14" t="s">
        <v>88</v>
      </c>
      <c r="D32" s="14" t="s">
        <v>89</v>
      </c>
      <c r="E32" s="14" t="s">
        <v>64</v>
      </c>
      <c r="F32" s="14" t="s">
        <v>83</v>
      </c>
      <c r="G32" s="14" t="n">
        <v>64</v>
      </c>
      <c r="H32" s="14" t="n">
        <v>2</v>
      </c>
    </row>
    <row r="33" customFormat="false" ht="15" hidden="false" customHeight="false" outlineLevel="0" collapsed="false">
      <c r="A33" s="14" t="s">
        <v>146</v>
      </c>
      <c r="B33" s="15" t="n">
        <v>46269</v>
      </c>
      <c r="C33" s="14" t="s">
        <v>123</v>
      </c>
      <c r="D33" s="14" t="s">
        <v>121</v>
      </c>
      <c r="E33" s="14" t="s">
        <v>69</v>
      </c>
      <c r="F33" s="14" t="s">
        <v>147</v>
      </c>
      <c r="G33" s="14"/>
      <c r="H33" s="14"/>
    </row>
    <row r="34" customFormat="false" ht="15" hidden="false" customHeight="false" outlineLevel="0" collapsed="false">
      <c r="A34" s="14" t="s">
        <v>148</v>
      </c>
      <c r="B34" s="15" t="n">
        <v>46269</v>
      </c>
      <c r="C34" s="14" t="s">
        <v>149</v>
      </c>
      <c r="D34" s="14" t="s">
        <v>130</v>
      </c>
      <c r="E34" s="14" t="s">
        <v>90</v>
      </c>
      <c r="F34" s="14" t="s">
        <v>86</v>
      </c>
      <c r="G34" s="14" t="n">
        <v>19.3</v>
      </c>
      <c r="H34" s="14" t="n">
        <v>5</v>
      </c>
    </row>
    <row r="35" customFormat="false" ht="15" hidden="false" customHeight="false" outlineLevel="0" collapsed="false">
      <c r="A35" s="14" t="s">
        <v>150</v>
      </c>
      <c r="B35" s="15" t="n">
        <v>46269</v>
      </c>
      <c r="C35" s="14" t="s">
        <v>151</v>
      </c>
      <c r="D35" s="14" t="s">
        <v>111</v>
      </c>
      <c r="E35" s="14" t="s">
        <v>64</v>
      </c>
      <c r="F35" s="14" t="s">
        <v>70</v>
      </c>
      <c r="G35" s="14" t="n">
        <v>39</v>
      </c>
      <c r="H35" s="14" t="n">
        <v>4</v>
      </c>
    </row>
    <row r="36" customFormat="false" ht="15" hidden="false" customHeight="false" outlineLevel="0" collapsed="false">
      <c r="A36" s="14" t="s">
        <v>152</v>
      </c>
      <c r="B36" s="15" t="n">
        <v>46269</v>
      </c>
      <c r="C36" s="14" t="s">
        <v>119</v>
      </c>
      <c r="D36" s="14" t="s">
        <v>117</v>
      </c>
      <c r="E36" s="14" t="s">
        <v>115</v>
      </c>
      <c r="F36" s="14" t="s">
        <v>83</v>
      </c>
      <c r="G36" s="14" t="n">
        <v>11.1</v>
      </c>
      <c r="H36" s="14" t="n">
        <v>5</v>
      </c>
    </row>
    <row r="37" customFormat="false" ht="15" hidden="false" customHeight="false" outlineLevel="0" collapsed="false">
      <c r="A37" s="14" t="s">
        <v>153</v>
      </c>
      <c r="B37" s="15" t="n">
        <v>46269</v>
      </c>
      <c r="C37" s="14" t="s">
        <v>123</v>
      </c>
      <c r="D37" s="14" t="s">
        <v>68</v>
      </c>
      <c r="E37" s="14" t="s">
        <v>69</v>
      </c>
      <c r="F37" s="14" t="s">
        <v>83</v>
      </c>
      <c r="G37" s="14" t="n">
        <v>27.7</v>
      </c>
      <c r="H37" s="14" t="n">
        <v>5</v>
      </c>
    </row>
    <row r="38" customFormat="false" ht="15" hidden="false" customHeight="false" outlineLevel="0" collapsed="false">
      <c r="A38" s="14" t="s">
        <v>154</v>
      </c>
      <c r="B38" s="15" t="n">
        <v>46269</v>
      </c>
      <c r="C38" s="14" t="s">
        <v>80</v>
      </c>
      <c r="D38" s="14" t="s">
        <v>94</v>
      </c>
      <c r="E38" s="14" t="s">
        <v>112</v>
      </c>
      <c r="F38" s="14" t="s">
        <v>86</v>
      </c>
      <c r="G38" s="14" t="n">
        <v>12</v>
      </c>
      <c r="H38" s="14" t="n">
        <v>5</v>
      </c>
    </row>
    <row r="39" customFormat="false" ht="15" hidden="false" customHeight="false" outlineLevel="0" collapsed="false">
      <c r="A39" s="14" t="s">
        <v>155</v>
      </c>
      <c r="B39" s="14" t="s">
        <v>156</v>
      </c>
      <c r="C39" s="14" t="s">
        <v>105</v>
      </c>
      <c r="D39" s="14" t="s">
        <v>136</v>
      </c>
      <c r="E39" s="14" t="s">
        <v>157</v>
      </c>
      <c r="F39" s="14" t="s">
        <v>70</v>
      </c>
      <c r="G39" s="14" t="n">
        <v>10.2</v>
      </c>
      <c r="H39" s="14"/>
    </row>
    <row r="40" customFormat="false" ht="15" hidden="false" customHeight="false" outlineLevel="0" collapsed="false">
      <c r="A40" s="14" t="s">
        <v>158</v>
      </c>
      <c r="B40" s="14" t="s">
        <v>156</v>
      </c>
      <c r="C40" s="14" t="s">
        <v>119</v>
      </c>
      <c r="D40" s="14" t="s">
        <v>111</v>
      </c>
      <c r="E40" s="14" t="s">
        <v>64</v>
      </c>
      <c r="F40" s="14" t="s">
        <v>147</v>
      </c>
      <c r="G40" s="14"/>
      <c r="H40" s="14"/>
    </row>
    <row r="41" customFormat="false" ht="15" hidden="false" customHeight="false" outlineLevel="0" collapsed="false">
      <c r="A41" s="14" t="s">
        <v>159</v>
      </c>
      <c r="B41" s="15" t="n">
        <v>46271</v>
      </c>
      <c r="C41" s="14" t="s">
        <v>149</v>
      </c>
      <c r="D41" s="14" t="s">
        <v>63</v>
      </c>
      <c r="E41" s="14" t="s">
        <v>160</v>
      </c>
      <c r="F41" s="14" t="s">
        <v>161</v>
      </c>
      <c r="G41" s="14"/>
      <c r="H41" s="14"/>
    </row>
    <row r="42" customFormat="false" ht="15" hidden="false" customHeight="false" outlineLevel="0" collapsed="false">
      <c r="A42" s="14" t="s">
        <v>162</v>
      </c>
      <c r="B42" s="15" t="n">
        <v>46272</v>
      </c>
      <c r="C42" s="14" t="s">
        <v>80</v>
      </c>
      <c r="D42" s="14" t="s">
        <v>68</v>
      </c>
      <c r="E42" s="14" t="s">
        <v>69</v>
      </c>
      <c r="F42" s="14" t="s">
        <v>70</v>
      </c>
      <c r="G42" s="14" t="n">
        <v>31.9</v>
      </c>
      <c r="H42" s="14" t="n">
        <v>4</v>
      </c>
    </row>
    <row r="43" customFormat="false" ht="15" hidden="false" customHeight="false" outlineLevel="0" collapsed="false">
      <c r="A43" s="14" t="s">
        <v>163</v>
      </c>
      <c r="B43" s="15" t="n">
        <v>46272</v>
      </c>
      <c r="C43" s="14" t="s">
        <v>128</v>
      </c>
      <c r="D43" s="14" t="s">
        <v>111</v>
      </c>
      <c r="E43" s="14" t="s">
        <v>82</v>
      </c>
      <c r="F43" s="14" t="s">
        <v>95</v>
      </c>
      <c r="G43" s="14" t="n">
        <v>9.4</v>
      </c>
      <c r="H43" s="14" t="n">
        <v>5</v>
      </c>
    </row>
    <row r="44" customFormat="false" ht="15" hidden="false" customHeight="false" outlineLevel="0" collapsed="false">
      <c r="A44" s="14" t="s">
        <v>164</v>
      </c>
      <c r="B44" s="14" t="s">
        <v>165</v>
      </c>
      <c r="C44" s="14" t="s">
        <v>114</v>
      </c>
      <c r="D44" s="14" t="s">
        <v>111</v>
      </c>
      <c r="E44" s="14" t="s">
        <v>103</v>
      </c>
      <c r="F44" s="14" t="s">
        <v>166</v>
      </c>
      <c r="G44" s="14"/>
      <c r="H44" s="14"/>
    </row>
    <row r="45" customFormat="false" ht="15" hidden="false" customHeight="false" outlineLevel="0" collapsed="false">
      <c r="A45" s="14" t="s">
        <v>167</v>
      </c>
      <c r="B45" s="15" t="n">
        <v>46273</v>
      </c>
      <c r="C45" s="14" t="s">
        <v>168</v>
      </c>
      <c r="D45" s="14" t="s">
        <v>94</v>
      </c>
      <c r="E45" s="14" t="s">
        <v>90</v>
      </c>
      <c r="F45" s="14" t="s">
        <v>95</v>
      </c>
      <c r="G45" s="14" t="n">
        <v>33.1</v>
      </c>
      <c r="H45" s="14" t="n">
        <v>2</v>
      </c>
    </row>
    <row r="46" customFormat="false" ht="15" hidden="false" customHeight="false" outlineLevel="0" collapsed="false">
      <c r="A46" s="14" t="s">
        <v>169</v>
      </c>
      <c r="B46" s="15" t="n">
        <v>46273</v>
      </c>
      <c r="C46" s="14" t="s">
        <v>105</v>
      </c>
      <c r="D46" s="14" t="s">
        <v>117</v>
      </c>
      <c r="E46" s="14" t="s">
        <v>112</v>
      </c>
      <c r="F46" s="14" t="s">
        <v>86</v>
      </c>
      <c r="G46" s="14" t="n">
        <v>14.9</v>
      </c>
      <c r="H46" s="14" t="n">
        <v>5</v>
      </c>
    </row>
    <row r="47" customFormat="false" ht="15" hidden="false" customHeight="false" outlineLevel="0" collapsed="false">
      <c r="A47" s="14" t="s">
        <v>170</v>
      </c>
      <c r="B47" s="15" t="n">
        <v>46273</v>
      </c>
      <c r="C47" s="14" t="s">
        <v>110</v>
      </c>
      <c r="D47" s="14" t="s">
        <v>171</v>
      </c>
      <c r="E47" s="14" t="s">
        <v>160</v>
      </c>
      <c r="F47" s="14" t="s">
        <v>95</v>
      </c>
      <c r="G47" s="14" t="n">
        <v>9.3</v>
      </c>
      <c r="H47" s="14" t="n">
        <v>3</v>
      </c>
    </row>
    <row r="48" customFormat="false" ht="15" hidden="false" customHeight="false" outlineLevel="0" collapsed="false">
      <c r="A48" s="14" t="s">
        <v>172</v>
      </c>
      <c r="B48" s="15" t="n">
        <v>46273</v>
      </c>
      <c r="C48" s="14" t="s">
        <v>80</v>
      </c>
      <c r="D48" s="14" t="s">
        <v>76</v>
      </c>
      <c r="E48" s="14" t="s">
        <v>90</v>
      </c>
      <c r="F48" s="14" t="s">
        <v>95</v>
      </c>
      <c r="G48" s="14" t="n">
        <v>39.4</v>
      </c>
      <c r="H48" s="14" t="n">
        <v>3</v>
      </c>
    </row>
    <row r="49" customFormat="false" ht="15" hidden="false" customHeight="false" outlineLevel="0" collapsed="false">
      <c r="A49" s="14" t="s">
        <v>173</v>
      </c>
      <c r="B49" s="15" t="n">
        <v>46273</v>
      </c>
      <c r="C49" s="14" t="s">
        <v>151</v>
      </c>
      <c r="D49" s="14" t="s">
        <v>121</v>
      </c>
      <c r="E49" s="14" t="s">
        <v>69</v>
      </c>
      <c r="F49" s="14" t="s">
        <v>95</v>
      </c>
      <c r="G49" s="14" t="n">
        <v>10</v>
      </c>
      <c r="H49" s="14" t="n">
        <v>5</v>
      </c>
    </row>
    <row r="50" customFormat="false" ht="15" hidden="false" customHeight="false" outlineLevel="0" collapsed="false">
      <c r="A50" s="14" t="s">
        <v>174</v>
      </c>
      <c r="B50" s="14" t="s">
        <v>175</v>
      </c>
      <c r="C50" s="14" t="s">
        <v>143</v>
      </c>
      <c r="D50" s="14" t="s">
        <v>176</v>
      </c>
      <c r="E50" s="14" t="s">
        <v>90</v>
      </c>
      <c r="F50" s="14" t="s">
        <v>95</v>
      </c>
      <c r="G50" s="14" t="n">
        <v>17.7</v>
      </c>
      <c r="H50" s="14" t="n">
        <v>4</v>
      </c>
    </row>
    <row r="51" customFormat="false" ht="15" hidden="false" customHeight="false" outlineLevel="0" collapsed="false">
      <c r="A51" s="14" t="s">
        <v>177</v>
      </c>
      <c r="B51" s="15" t="n">
        <v>46273</v>
      </c>
      <c r="C51" s="14" t="s">
        <v>110</v>
      </c>
      <c r="D51" s="14" t="s">
        <v>68</v>
      </c>
      <c r="E51" s="14" t="s">
        <v>69</v>
      </c>
      <c r="F51" s="14" t="s">
        <v>86</v>
      </c>
      <c r="G51" s="14" t="n">
        <v>8.8</v>
      </c>
      <c r="H51" s="14" t="n">
        <v>5</v>
      </c>
    </row>
    <row r="52" customFormat="false" ht="15" hidden="false" customHeight="false" outlineLevel="0" collapsed="false">
      <c r="A52" s="14" t="s">
        <v>178</v>
      </c>
      <c r="B52" s="14" t="s">
        <v>179</v>
      </c>
      <c r="C52" s="14" t="s">
        <v>67</v>
      </c>
      <c r="D52" s="14" t="s">
        <v>180</v>
      </c>
      <c r="E52" s="14" t="s">
        <v>157</v>
      </c>
      <c r="F52" s="14" t="s">
        <v>161</v>
      </c>
      <c r="G52" s="14"/>
      <c r="H52" s="14"/>
    </row>
    <row r="53" customFormat="false" ht="15" hidden="false" customHeight="false" outlineLevel="0" collapsed="false">
      <c r="A53" s="14" t="s">
        <v>181</v>
      </c>
      <c r="B53" s="15" t="n">
        <v>46274</v>
      </c>
      <c r="C53" s="14" t="s">
        <v>182</v>
      </c>
      <c r="D53" s="14" t="s">
        <v>73</v>
      </c>
      <c r="E53" s="14" t="s">
        <v>183</v>
      </c>
      <c r="F53" s="14" t="s">
        <v>78</v>
      </c>
      <c r="G53" s="14"/>
      <c r="H53" s="14"/>
    </row>
    <row r="54" customFormat="false" ht="15" hidden="false" customHeight="false" outlineLevel="0" collapsed="false">
      <c r="A54" s="14" t="s">
        <v>184</v>
      </c>
      <c r="B54" s="15" t="n">
        <v>46274</v>
      </c>
      <c r="C54" s="14" t="s">
        <v>62</v>
      </c>
      <c r="D54" s="14" t="s">
        <v>94</v>
      </c>
      <c r="E54" s="14" t="s">
        <v>124</v>
      </c>
      <c r="F54" s="14" t="s">
        <v>70</v>
      </c>
      <c r="G54" s="14" t="n">
        <v>12.8</v>
      </c>
      <c r="H54" s="14" t="n">
        <v>3</v>
      </c>
    </row>
    <row r="55" customFormat="false" ht="15" hidden="false" customHeight="false" outlineLevel="0" collapsed="false">
      <c r="A55" s="14" t="s">
        <v>185</v>
      </c>
      <c r="B55" s="15" t="n">
        <v>46274</v>
      </c>
      <c r="C55" s="14" t="s">
        <v>105</v>
      </c>
      <c r="D55" s="14" t="s">
        <v>117</v>
      </c>
      <c r="E55" s="14" t="s">
        <v>64</v>
      </c>
      <c r="F55" s="14" t="s">
        <v>78</v>
      </c>
      <c r="G55" s="14"/>
      <c r="H55" s="14"/>
    </row>
    <row r="56" customFormat="false" ht="15" hidden="false" customHeight="false" outlineLevel="0" collapsed="false">
      <c r="A56" s="14" t="s">
        <v>186</v>
      </c>
      <c r="B56" s="15" t="n">
        <v>46274</v>
      </c>
      <c r="C56" s="14" t="s">
        <v>123</v>
      </c>
      <c r="D56" s="14" t="s">
        <v>126</v>
      </c>
      <c r="E56" s="14" t="s">
        <v>115</v>
      </c>
      <c r="F56" s="14" t="s">
        <v>161</v>
      </c>
      <c r="G56" s="14"/>
      <c r="H56" s="14"/>
    </row>
    <row r="57" customFormat="false" ht="15" hidden="false" customHeight="false" outlineLevel="0" collapsed="false">
      <c r="A57" s="14" t="s">
        <v>187</v>
      </c>
      <c r="B57" s="15" t="n">
        <v>46274</v>
      </c>
      <c r="C57" s="14" t="s">
        <v>188</v>
      </c>
      <c r="D57" s="14" t="s">
        <v>180</v>
      </c>
      <c r="E57" s="14" t="s">
        <v>157</v>
      </c>
      <c r="F57" s="14" t="s">
        <v>86</v>
      </c>
      <c r="G57" s="14" t="n">
        <v>8</v>
      </c>
      <c r="H57" s="14" t="n">
        <v>4</v>
      </c>
    </row>
    <row r="58" customFormat="false" ht="15" hidden="false" customHeight="false" outlineLevel="0" collapsed="false">
      <c r="A58" s="14" t="s">
        <v>189</v>
      </c>
      <c r="B58" s="15" t="n">
        <v>46275</v>
      </c>
      <c r="C58" s="14" t="s">
        <v>88</v>
      </c>
      <c r="D58" s="14" t="s">
        <v>111</v>
      </c>
      <c r="E58" s="14" t="s">
        <v>157</v>
      </c>
      <c r="F58" s="14" t="s">
        <v>95</v>
      </c>
      <c r="G58" s="14" t="n">
        <v>18.3</v>
      </c>
      <c r="H58" s="14" t="n">
        <v>4</v>
      </c>
    </row>
    <row r="59" customFormat="false" ht="15" hidden="false" customHeight="false" outlineLevel="0" collapsed="false">
      <c r="A59" s="14" t="s">
        <v>190</v>
      </c>
      <c r="B59" s="15" t="n">
        <v>46275</v>
      </c>
      <c r="C59" s="14" t="s">
        <v>75</v>
      </c>
      <c r="D59" s="14" t="s">
        <v>68</v>
      </c>
      <c r="E59" s="14" t="s">
        <v>77</v>
      </c>
      <c r="F59" s="14" t="s">
        <v>95</v>
      </c>
      <c r="G59" s="14" t="n">
        <v>5.3</v>
      </c>
      <c r="H59" s="14"/>
    </row>
    <row r="60" customFormat="false" ht="15" hidden="false" customHeight="false" outlineLevel="0" collapsed="false">
      <c r="A60" s="14" t="s">
        <v>191</v>
      </c>
      <c r="B60" s="15" t="n">
        <v>46275</v>
      </c>
      <c r="C60" s="14" t="s">
        <v>192</v>
      </c>
      <c r="D60" s="14" t="s">
        <v>117</v>
      </c>
      <c r="E60" s="14" t="s">
        <v>124</v>
      </c>
      <c r="F60" s="14" t="s">
        <v>65</v>
      </c>
      <c r="G60" s="14"/>
      <c r="H60" s="14"/>
    </row>
    <row r="61" customFormat="false" ht="15" hidden="false" customHeight="false" outlineLevel="0" collapsed="false">
      <c r="A61" s="14" t="s">
        <v>193</v>
      </c>
      <c r="B61" s="15" t="n">
        <v>46275</v>
      </c>
      <c r="C61" s="14" t="s">
        <v>188</v>
      </c>
      <c r="D61" s="14" t="s">
        <v>130</v>
      </c>
      <c r="E61" s="14" t="s">
        <v>90</v>
      </c>
      <c r="F61" s="14" t="s">
        <v>86</v>
      </c>
      <c r="G61" s="14" t="n">
        <v>45.4</v>
      </c>
      <c r="H61" s="14" t="n">
        <v>5</v>
      </c>
    </row>
    <row r="62" customFormat="false" ht="15" hidden="false" customHeight="false" outlineLevel="0" collapsed="false">
      <c r="A62" s="14" t="s">
        <v>194</v>
      </c>
      <c r="B62" s="14" t="s">
        <v>195</v>
      </c>
      <c r="C62" s="14" t="s">
        <v>151</v>
      </c>
      <c r="D62" s="14" t="s">
        <v>68</v>
      </c>
      <c r="E62" s="14" t="s">
        <v>107</v>
      </c>
      <c r="F62" s="14" t="s">
        <v>70</v>
      </c>
      <c r="G62" s="14" t="n">
        <v>16.6</v>
      </c>
      <c r="H62" s="14" t="n">
        <v>3</v>
      </c>
    </row>
    <row r="63" customFormat="false" ht="15" hidden="false" customHeight="false" outlineLevel="0" collapsed="false">
      <c r="A63" s="14" t="s">
        <v>196</v>
      </c>
      <c r="B63" s="15" t="n">
        <v>46275</v>
      </c>
      <c r="C63" s="14" t="s">
        <v>105</v>
      </c>
      <c r="D63" s="14" t="s">
        <v>73</v>
      </c>
      <c r="E63" s="14" t="s">
        <v>112</v>
      </c>
      <c r="F63" s="14" t="s">
        <v>70</v>
      </c>
      <c r="G63" s="14" t="n">
        <v>13.5</v>
      </c>
      <c r="H63" s="14" t="n">
        <v>4</v>
      </c>
    </row>
    <row r="64" customFormat="false" ht="15" hidden="false" customHeight="false" outlineLevel="0" collapsed="false">
      <c r="A64" s="14" t="s">
        <v>197</v>
      </c>
      <c r="B64" s="15" t="n">
        <v>46276</v>
      </c>
      <c r="C64" s="14" t="s">
        <v>123</v>
      </c>
      <c r="D64" s="14" t="s">
        <v>198</v>
      </c>
      <c r="E64" s="14" t="s">
        <v>69</v>
      </c>
      <c r="F64" s="14" t="s">
        <v>99</v>
      </c>
      <c r="G64" s="14" t="n">
        <v>13.5</v>
      </c>
      <c r="H64" s="14" t="n">
        <v>5</v>
      </c>
    </row>
    <row r="65" customFormat="false" ht="15" hidden="false" customHeight="false" outlineLevel="0" collapsed="false">
      <c r="A65" s="14" t="s">
        <v>199</v>
      </c>
      <c r="B65" s="15" t="n">
        <v>46276</v>
      </c>
      <c r="C65" s="14" t="s">
        <v>135</v>
      </c>
      <c r="D65" s="14" t="s">
        <v>130</v>
      </c>
      <c r="E65" s="14" t="s">
        <v>157</v>
      </c>
      <c r="F65" s="14" t="s">
        <v>70</v>
      </c>
      <c r="G65" s="14" t="n">
        <v>6.8</v>
      </c>
      <c r="H65" s="14" t="n">
        <v>5</v>
      </c>
    </row>
    <row r="66" customFormat="false" ht="15" hidden="false" customHeight="false" outlineLevel="0" collapsed="false">
      <c r="A66" s="14" t="s">
        <v>200</v>
      </c>
      <c r="B66" s="15" t="n">
        <v>46276</v>
      </c>
      <c r="C66" s="14" t="s">
        <v>62</v>
      </c>
      <c r="D66" s="14" t="s">
        <v>89</v>
      </c>
      <c r="E66" s="14" t="s">
        <v>69</v>
      </c>
      <c r="F66" s="14" t="s">
        <v>95</v>
      </c>
      <c r="G66" s="14" t="n">
        <v>8.9</v>
      </c>
      <c r="H66" s="14" t="n">
        <v>4</v>
      </c>
    </row>
    <row r="67" customFormat="false" ht="15" hidden="false" customHeight="false" outlineLevel="0" collapsed="false">
      <c r="A67" s="14" t="s">
        <v>201</v>
      </c>
      <c r="B67" s="15" t="n">
        <v>46276</v>
      </c>
      <c r="C67" s="14" t="s">
        <v>105</v>
      </c>
      <c r="D67" s="14" t="s">
        <v>111</v>
      </c>
      <c r="E67" s="14" t="s">
        <v>183</v>
      </c>
      <c r="F67" s="14" t="s">
        <v>95</v>
      </c>
      <c r="G67" s="14" t="n">
        <v>15.5</v>
      </c>
      <c r="H67" s="14" t="n">
        <v>4</v>
      </c>
    </row>
    <row r="68" customFormat="false" ht="15" hidden="false" customHeight="false" outlineLevel="0" collapsed="false">
      <c r="A68" s="14" t="s">
        <v>202</v>
      </c>
      <c r="B68" s="14" t="s">
        <v>203</v>
      </c>
      <c r="C68" s="14" t="s">
        <v>192</v>
      </c>
      <c r="D68" s="14" t="s">
        <v>68</v>
      </c>
      <c r="E68" s="14" t="s">
        <v>85</v>
      </c>
      <c r="F68" s="14" t="s">
        <v>86</v>
      </c>
      <c r="G68" s="14" t="n">
        <v>27.9</v>
      </c>
      <c r="H68" s="14" t="n">
        <v>4</v>
      </c>
    </row>
    <row r="69" customFormat="false" ht="15" hidden="false" customHeight="false" outlineLevel="0" collapsed="false">
      <c r="A69" s="14" t="s">
        <v>204</v>
      </c>
      <c r="B69" s="15" t="n">
        <v>46276</v>
      </c>
      <c r="C69" s="14" t="s">
        <v>168</v>
      </c>
      <c r="D69" s="14" t="s">
        <v>130</v>
      </c>
      <c r="E69" s="14" t="s">
        <v>69</v>
      </c>
      <c r="F69" s="14" t="s">
        <v>86</v>
      </c>
      <c r="G69" s="14" t="n">
        <v>5</v>
      </c>
      <c r="H69" s="14" t="n">
        <v>5</v>
      </c>
    </row>
    <row r="70" customFormat="false" ht="15" hidden="false" customHeight="false" outlineLevel="0" collapsed="false">
      <c r="A70" s="14" t="s">
        <v>205</v>
      </c>
      <c r="B70" s="15" t="n">
        <v>46276</v>
      </c>
      <c r="C70" s="14" t="s">
        <v>188</v>
      </c>
      <c r="D70" s="14" t="s">
        <v>206</v>
      </c>
      <c r="E70" s="14" t="s">
        <v>112</v>
      </c>
      <c r="F70" s="14" t="s">
        <v>95</v>
      </c>
      <c r="G70" s="14" t="n">
        <v>15.7</v>
      </c>
      <c r="H70" s="14" t="n">
        <v>4</v>
      </c>
    </row>
    <row r="71" customFormat="false" ht="15" hidden="false" customHeight="false" outlineLevel="0" collapsed="false">
      <c r="A71" s="14" t="s">
        <v>207</v>
      </c>
      <c r="B71" s="15" t="n">
        <v>46276</v>
      </c>
      <c r="C71" s="14" t="s">
        <v>105</v>
      </c>
      <c r="D71" s="14" t="s">
        <v>68</v>
      </c>
      <c r="E71" s="14" t="s">
        <v>115</v>
      </c>
      <c r="F71" s="14" t="s">
        <v>166</v>
      </c>
      <c r="G71" s="14"/>
      <c r="H71" s="14"/>
    </row>
    <row r="72" customFormat="false" ht="15" hidden="false" customHeight="false" outlineLevel="0" collapsed="false">
      <c r="A72" s="14" t="s">
        <v>208</v>
      </c>
      <c r="B72" s="15" t="n">
        <v>46276</v>
      </c>
      <c r="C72" s="14" t="s">
        <v>105</v>
      </c>
      <c r="D72" s="14" t="s">
        <v>209</v>
      </c>
      <c r="E72" s="14" t="s">
        <v>157</v>
      </c>
      <c r="F72" s="14" t="s">
        <v>86</v>
      </c>
      <c r="G72" s="14" t="n">
        <v>13.7</v>
      </c>
      <c r="H72" s="14" t="n">
        <v>4</v>
      </c>
    </row>
    <row r="73" customFormat="false" ht="15" hidden="false" customHeight="false" outlineLevel="0" collapsed="false">
      <c r="A73" s="14" t="s">
        <v>210</v>
      </c>
      <c r="B73" s="15" t="n">
        <v>46277</v>
      </c>
      <c r="C73" s="14" t="s">
        <v>62</v>
      </c>
      <c r="D73" s="14" t="s">
        <v>176</v>
      </c>
      <c r="E73" s="14" t="s">
        <v>64</v>
      </c>
      <c r="F73" s="14" t="s">
        <v>70</v>
      </c>
      <c r="G73" s="14" t="n">
        <v>18.4</v>
      </c>
      <c r="H73" s="14" t="n">
        <v>4</v>
      </c>
    </row>
    <row r="74" customFormat="false" ht="15" hidden="false" customHeight="false" outlineLevel="0" collapsed="false">
      <c r="A74" s="14" t="s">
        <v>211</v>
      </c>
      <c r="B74" s="15" t="n">
        <v>46277</v>
      </c>
      <c r="C74" s="14" t="s">
        <v>151</v>
      </c>
      <c r="D74" s="14" t="s">
        <v>68</v>
      </c>
      <c r="E74" s="14" t="s">
        <v>69</v>
      </c>
      <c r="F74" s="14" t="s">
        <v>83</v>
      </c>
      <c r="G74" s="14" t="n">
        <v>13.3</v>
      </c>
      <c r="H74" s="14" t="n">
        <v>4</v>
      </c>
    </row>
    <row r="75" customFormat="false" ht="15" hidden="false" customHeight="false" outlineLevel="0" collapsed="false">
      <c r="A75" s="14" t="s">
        <v>212</v>
      </c>
      <c r="B75" s="15" t="n">
        <v>46278</v>
      </c>
      <c r="C75" s="14" t="s">
        <v>123</v>
      </c>
      <c r="D75" s="14" t="s">
        <v>171</v>
      </c>
      <c r="E75" s="14" t="s">
        <v>69</v>
      </c>
      <c r="F75" s="14" t="s">
        <v>147</v>
      </c>
      <c r="G75" s="14"/>
      <c r="H75" s="14"/>
    </row>
    <row r="76" customFormat="false" ht="15" hidden="false" customHeight="false" outlineLevel="0" collapsed="false">
      <c r="A76" s="14" t="s">
        <v>213</v>
      </c>
      <c r="B76" s="15" t="n">
        <v>46279</v>
      </c>
      <c r="C76" s="14" t="s">
        <v>80</v>
      </c>
      <c r="D76" s="14" t="s">
        <v>214</v>
      </c>
      <c r="E76" s="14" t="s">
        <v>90</v>
      </c>
      <c r="F76" s="14" t="s">
        <v>83</v>
      </c>
      <c r="G76" s="14" t="n">
        <v>17.5</v>
      </c>
      <c r="H76" s="14" t="n">
        <v>4</v>
      </c>
    </row>
    <row r="77" customFormat="false" ht="15" hidden="false" customHeight="false" outlineLevel="0" collapsed="false">
      <c r="A77" s="14" t="s">
        <v>215</v>
      </c>
      <c r="B77" s="15" t="n">
        <v>46279</v>
      </c>
      <c r="C77" s="14" t="s">
        <v>67</v>
      </c>
      <c r="D77" s="14" t="s">
        <v>68</v>
      </c>
      <c r="E77" s="14" t="s">
        <v>112</v>
      </c>
      <c r="F77" s="14" t="s">
        <v>83</v>
      </c>
      <c r="G77" s="14" t="n">
        <v>18.4</v>
      </c>
      <c r="H77" s="14" t="n">
        <v>4</v>
      </c>
    </row>
    <row r="78" customFormat="false" ht="15" hidden="false" customHeight="false" outlineLevel="0" collapsed="false">
      <c r="A78" s="14" t="s">
        <v>216</v>
      </c>
      <c r="B78" s="15" t="n">
        <v>46279</v>
      </c>
      <c r="C78" s="14" t="s">
        <v>105</v>
      </c>
      <c r="D78" s="14" t="s">
        <v>76</v>
      </c>
      <c r="E78" s="14" t="s">
        <v>157</v>
      </c>
      <c r="F78" s="14" t="s">
        <v>99</v>
      </c>
      <c r="G78" s="14" t="n">
        <v>3.7</v>
      </c>
      <c r="H78" s="14" t="n">
        <v>4</v>
      </c>
    </row>
    <row r="79" customFormat="false" ht="15" hidden="false" customHeight="false" outlineLevel="0" collapsed="false">
      <c r="A79" s="14" t="s">
        <v>217</v>
      </c>
      <c r="B79" s="15" t="n">
        <v>46279</v>
      </c>
      <c r="C79" s="14" t="s">
        <v>168</v>
      </c>
      <c r="D79" s="14" t="s">
        <v>171</v>
      </c>
      <c r="E79" s="14" t="s">
        <v>107</v>
      </c>
      <c r="F79" s="14" t="s">
        <v>70</v>
      </c>
      <c r="G79" s="14" t="n">
        <v>9.4</v>
      </c>
      <c r="H79" s="14" t="n">
        <v>5</v>
      </c>
    </row>
    <row r="80" customFormat="false" ht="15" hidden="false" customHeight="false" outlineLevel="0" collapsed="false">
      <c r="A80" s="14" t="s">
        <v>218</v>
      </c>
      <c r="B80" s="15" t="n">
        <v>46279</v>
      </c>
      <c r="C80" s="14" t="s">
        <v>105</v>
      </c>
      <c r="D80" s="14" t="s">
        <v>206</v>
      </c>
      <c r="E80" s="14" t="s">
        <v>90</v>
      </c>
      <c r="F80" s="14" t="s">
        <v>83</v>
      </c>
      <c r="G80" s="14" t="n">
        <v>11.8</v>
      </c>
      <c r="H80" s="14" t="n">
        <v>4</v>
      </c>
    </row>
    <row r="81" customFormat="false" ht="15" hidden="false" customHeight="false" outlineLevel="0" collapsed="false">
      <c r="A81" s="14" t="s">
        <v>219</v>
      </c>
      <c r="B81" s="15" t="n">
        <v>46279</v>
      </c>
      <c r="C81" s="14" t="s">
        <v>72</v>
      </c>
      <c r="D81" s="14" t="s">
        <v>92</v>
      </c>
      <c r="E81" s="14" t="s">
        <v>220</v>
      </c>
      <c r="F81" s="14" t="s">
        <v>166</v>
      </c>
      <c r="G81" s="14"/>
      <c r="H81" s="14"/>
    </row>
    <row r="82" customFormat="false" ht="15" hidden="false" customHeight="false" outlineLevel="0" collapsed="false">
      <c r="A82" s="14" t="s">
        <v>221</v>
      </c>
      <c r="B82" s="15" t="n">
        <v>46279</v>
      </c>
      <c r="C82" s="14" t="s">
        <v>88</v>
      </c>
      <c r="D82" s="14" t="s">
        <v>171</v>
      </c>
      <c r="E82" s="14" t="s">
        <v>183</v>
      </c>
      <c r="F82" s="14" t="s">
        <v>70</v>
      </c>
      <c r="G82" s="14" t="n">
        <v>18</v>
      </c>
      <c r="H82" s="14" t="n">
        <v>4</v>
      </c>
    </row>
    <row r="83" customFormat="false" ht="15" hidden="false" customHeight="false" outlineLevel="0" collapsed="false">
      <c r="A83" s="14" t="s">
        <v>222</v>
      </c>
      <c r="B83" s="15" t="n">
        <v>46279</v>
      </c>
      <c r="C83" s="14" t="s">
        <v>223</v>
      </c>
      <c r="D83" s="14" t="s">
        <v>89</v>
      </c>
      <c r="E83" s="14" t="s">
        <v>64</v>
      </c>
      <c r="F83" s="14" t="s">
        <v>70</v>
      </c>
      <c r="G83" s="14" t="n">
        <v>14.9</v>
      </c>
      <c r="H83" s="14" t="n">
        <v>3</v>
      </c>
    </row>
    <row r="84" customFormat="false" ht="15" hidden="false" customHeight="false" outlineLevel="0" collapsed="false">
      <c r="A84" s="14" t="s">
        <v>224</v>
      </c>
      <c r="B84" s="15" t="n">
        <v>46280</v>
      </c>
      <c r="C84" s="14" t="s">
        <v>123</v>
      </c>
      <c r="D84" s="14" t="s">
        <v>94</v>
      </c>
      <c r="E84" s="14" t="s">
        <v>157</v>
      </c>
      <c r="F84" s="14" t="s">
        <v>86</v>
      </c>
      <c r="G84" s="14" t="n">
        <v>9.6</v>
      </c>
      <c r="H84" s="14" t="n">
        <v>4</v>
      </c>
    </row>
    <row r="85" customFormat="false" ht="15" hidden="false" customHeight="false" outlineLevel="0" collapsed="false">
      <c r="A85" s="14" t="s">
        <v>225</v>
      </c>
      <c r="B85" s="14" t="s">
        <v>226</v>
      </c>
      <c r="C85" s="14" t="s">
        <v>182</v>
      </c>
      <c r="D85" s="14" t="s">
        <v>68</v>
      </c>
      <c r="E85" s="14" t="s">
        <v>69</v>
      </c>
      <c r="F85" s="14" t="s">
        <v>99</v>
      </c>
      <c r="G85" s="14" t="n">
        <v>12.3</v>
      </c>
      <c r="H85" s="14" t="n">
        <v>5</v>
      </c>
    </row>
    <row r="86" customFormat="false" ht="15" hidden="false" customHeight="false" outlineLevel="0" collapsed="false">
      <c r="A86" s="14" t="s">
        <v>227</v>
      </c>
      <c r="B86" s="15" t="n">
        <v>46280</v>
      </c>
      <c r="C86" s="14" t="s">
        <v>105</v>
      </c>
      <c r="D86" s="14" t="s">
        <v>94</v>
      </c>
      <c r="E86" s="14" t="s">
        <v>107</v>
      </c>
      <c r="F86" s="14" t="s">
        <v>78</v>
      </c>
      <c r="G86" s="14"/>
      <c r="H86" s="14"/>
    </row>
    <row r="87" customFormat="false" ht="15" hidden="false" customHeight="false" outlineLevel="0" collapsed="false">
      <c r="A87" s="14" t="s">
        <v>228</v>
      </c>
      <c r="B87" s="15" t="n">
        <v>46280</v>
      </c>
      <c r="C87" s="14" t="s">
        <v>143</v>
      </c>
      <c r="D87" s="14" t="s">
        <v>63</v>
      </c>
      <c r="E87" s="14" t="s">
        <v>85</v>
      </c>
      <c r="F87" s="14" t="s">
        <v>161</v>
      </c>
      <c r="G87" s="14"/>
      <c r="H87" s="14"/>
    </row>
    <row r="88" customFormat="false" ht="15" hidden="false" customHeight="false" outlineLevel="0" collapsed="false">
      <c r="A88" s="14" t="s">
        <v>229</v>
      </c>
      <c r="B88" s="15" t="n">
        <v>46280</v>
      </c>
      <c r="C88" s="14" t="s">
        <v>97</v>
      </c>
      <c r="D88" s="14" t="s">
        <v>171</v>
      </c>
      <c r="E88" s="14" t="s">
        <v>157</v>
      </c>
      <c r="F88" s="14" t="s">
        <v>70</v>
      </c>
      <c r="G88" s="14" t="n">
        <v>5.5</v>
      </c>
      <c r="H88" s="14" t="n">
        <v>5</v>
      </c>
    </row>
    <row r="89" customFormat="false" ht="15" hidden="false" customHeight="false" outlineLevel="0" collapsed="false">
      <c r="A89" s="14" t="s">
        <v>230</v>
      </c>
      <c r="B89" s="15" t="n">
        <v>46280</v>
      </c>
      <c r="C89" s="14" t="s">
        <v>123</v>
      </c>
      <c r="D89" s="14" t="s">
        <v>102</v>
      </c>
      <c r="E89" s="14" t="s">
        <v>115</v>
      </c>
      <c r="F89" s="14" t="s">
        <v>86</v>
      </c>
      <c r="G89" s="14" t="n">
        <v>12.7</v>
      </c>
      <c r="H89" s="14" t="n">
        <v>4</v>
      </c>
    </row>
    <row r="90" customFormat="false" ht="15" hidden="false" customHeight="false" outlineLevel="0" collapsed="false">
      <c r="A90" s="14" t="s">
        <v>231</v>
      </c>
      <c r="B90" s="15" t="n">
        <v>46281</v>
      </c>
      <c r="C90" s="14" t="s">
        <v>135</v>
      </c>
      <c r="D90" s="14" t="s">
        <v>63</v>
      </c>
      <c r="E90" s="14" t="s">
        <v>69</v>
      </c>
      <c r="F90" s="14" t="s">
        <v>95</v>
      </c>
      <c r="G90" s="14" t="n">
        <v>15.6</v>
      </c>
      <c r="H90" s="14" t="n">
        <v>5</v>
      </c>
    </row>
    <row r="91" customFormat="false" ht="15" hidden="false" customHeight="false" outlineLevel="0" collapsed="false">
      <c r="A91" s="14" t="s">
        <v>232</v>
      </c>
      <c r="B91" s="15" t="n">
        <v>46281</v>
      </c>
      <c r="C91" s="14" t="s">
        <v>101</v>
      </c>
      <c r="D91" s="14" t="s">
        <v>117</v>
      </c>
      <c r="E91" s="14" t="s">
        <v>69</v>
      </c>
      <c r="F91" s="14" t="s">
        <v>83</v>
      </c>
      <c r="G91" s="14" t="n">
        <v>9</v>
      </c>
      <c r="H91" s="14"/>
    </row>
    <row r="92" customFormat="false" ht="15" hidden="false" customHeight="false" outlineLevel="0" collapsed="false">
      <c r="A92" s="14" t="s">
        <v>233</v>
      </c>
      <c r="B92" s="15" t="n">
        <v>46281</v>
      </c>
      <c r="C92" s="14" t="s">
        <v>133</v>
      </c>
      <c r="D92" s="14" t="s">
        <v>136</v>
      </c>
      <c r="E92" s="14" t="s">
        <v>234</v>
      </c>
      <c r="F92" s="14" t="s">
        <v>95</v>
      </c>
      <c r="G92" s="14" t="n">
        <v>21.9</v>
      </c>
      <c r="H92" s="14" t="n">
        <v>3</v>
      </c>
    </row>
    <row r="93" customFormat="false" ht="15" hidden="false" customHeight="false" outlineLevel="0" collapsed="false">
      <c r="A93" s="14" t="s">
        <v>235</v>
      </c>
      <c r="B93" s="15" t="n">
        <v>46281</v>
      </c>
      <c r="C93" s="14" t="s">
        <v>119</v>
      </c>
      <c r="D93" s="14" t="s">
        <v>111</v>
      </c>
      <c r="E93" s="14" t="s">
        <v>115</v>
      </c>
      <c r="F93" s="14" t="s">
        <v>70</v>
      </c>
      <c r="G93" s="14" t="n">
        <v>40.9</v>
      </c>
      <c r="H93" s="14" t="n">
        <v>3</v>
      </c>
    </row>
    <row r="94" customFormat="false" ht="15" hidden="false" customHeight="false" outlineLevel="0" collapsed="false">
      <c r="A94" s="14" t="s">
        <v>236</v>
      </c>
      <c r="B94" s="15" t="n">
        <v>46282</v>
      </c>
      <c r="C94" s="14" t="s">
        <v>67</v>
      </c>
      <c r="D94" s="14" t="s">
        <v>68</v>
      </c>
      <c r="E94" s="14" t="s">
        <v>85</v>
      </c>
      <c r="F94" s="14" t="s">
        <v>70</v>
      </c>
      <c r="G94" s="14" t="n">
        <v>24.2</v>
      </c>
      <c r="H94" s="14" t="n">
        <v>4</v>
      </c>
    </row>
    <row r="95" customFormat="false" ht="15" hidden="false" customHeight="false" outlineLevel="0" collapsed="false">
      <c r="A95" s="14" t="s">
        <v>237</v>
      </c>
      <c r="B95" s="15" t="n">
        <v>46282</v>
      </c>
      <c r="C95" s="14" t="s">
        <v>110</v>
      </c>
      <c r="D95" s="14" t="s">
        <v>68</v>
      </c>
      <c r="E95" s="14" t="s">
        <v>90</v>
      </c>
      <c r="F95" s="14" t="s">
        <v>70</v>
      </c>
      <c r="G95" s="14" t="n">
        <v>9.7</v>
      </c>
      <c r="H95" s="14" t="n">
        <v>5</v>
      </c>
    </row>
    <row r="96" customFormat="false" ht="15" hidden="false" customHeight="false" outlineLevel="0" collapsed="false">
      <c r="A96" s="14" t="s">
        <v>238</v>
      </c>
      <c r="B96" s="15" t="n">
        <v>46282</v>
      </c>
      <c r="C96" s="14" t="s">
        <v>133</v>
      </c>
      <c r="D96" s="14" t="s">
        <v>176</v>
      </c>
      <c r="E96" s="14" t="s">
        <v>220</v>
      </c>
      <c r="F96" s="14" t="s">
        <v>70</v>
      </c>
      <c r="G96" s="14" t="n">
        <v>4.4</v>
      </c>
      <c r="H96" s="14"/>
    </row>
    <row r="97" customFormat="false" ht="15" hidden="false" customHeight="false" outlineLevel="0" collapsed="false">
      <c r="A97" s="14" t="s">
        <v>239</v>
      </c>
      <c r="B97" s="15" t="n">
        <v>46282</v>
      </c>
      <c r="C97" s="14" t="s">
        <v>192</v>
      </c>
      <c r="D97" s="14" t="s">
        <v>68</v>
      </c>
      <c r="E97" s="14" t="s">
        <v>124</v>
      </c>
      <c r="F97" s="14" t="s">
        <v>99</v>
      </c>
      <c r="G97" s="14" t="n">
        <v>39</v>
      </c>
      <c r="H97" s="14"/>
    </row>
    <row r="98" customFormat="false" ht="15" hidden="false" customHeight="false" outlineLevel="0" collapsed="false">
      <c r="A98" s="14" t="s">
        <v>240</v>
      </c>
      <c r="B98" s="15" t="n">
        <v>46282</v>
      </c>
      <c r="C98" s="14" t="s">
        <v>119</v>
      </c>
      <c r="D98" s="14" t="s">
        <v>111</v>
      </c>
      <c r="E98" s="14" t="s">
        <v>112</v>
      </c>
      <c r="F98" s="14" t="s">
        <v>83</v>
      </c>
      <c r="G98" s="14" t="n">
        <v>4.5</v>
      </c>
      <c r="H98" s="14" t="n">
        <v>4</v>
      </c>
    </row>
    <row r="99" customFormat="false" ht="15" hidden="false" customHeight="false" outlineLevel="0" collapsed="false">
      <c r="A99" s="14" t="s">
        <v>241</v>
      </c>
      <c r="B99" s="15" t="n">
        <v>46282</v>
      </c>
      <c r="C99" s="14" t="s">
        <v>62</v>
      </c>
      <c r="D99" s="14" t="s">
        <v>68</v>
      </c>
      <c r="E99" s="14" t="s">
        <v>77</v>
      </c>
      <c r="F99" s="14" t="s">
        <v>70</v>
      </c>
      <c r="G99" s="14" t="n">
        <v>3.5</v>
      </c>
      <c r="H99" s="14" t="n">
        <v>4</v>
      </c>
    </row>
    <row r="100" customFormat="false" ht="15" hidden="false" customHeight="false" outlineLevel="0" collapsed="false">
      <c r="A100" s="14" t="s">
        <v>242</v>
      </c>
      <c r="B100" s="14" t="s">
        <v>243</v>
      </c>
      <c r="C100" s="14" t="s">
        <v>105</v>
      </c>
      <c r="D100" s="14" t="s">
        <v>94</v>
      </c>
      <c r="E100" s="14" t="s">
        <v>157</v>
      </c>
      <c r="F100" s="14" t="s">
        <v>70</v>
      </c>
      <c r="G100" s="14" t="n">
        <v>7.4</v>
      </c>
      <c r="H100" s="14" t="n">
        <v>4</v>
      </c>
    </row>
    <row r="101" customFormat="false" ht="15" hidden="false" customHeight="false" outlineLevel="0" collapsed="false">
      <c r="A101" s="14" t="s">
        <v>244</v>
      </c>
      <c r="B101" s="15" t="n">
        <v>46282</v>
      </c>
      <c r="C101" s="14" t="s">
        <v>192</v>
      </c>
      <c r="D101" s="14" t="s">
        <v>180</v>
      </c>
      <c r="E101" s="14" t="s">
        <v>90</v>
      </c>
      <c r="F101" s="14" t="s">
        <v>95</v>
      </c>
      <c r="G101" s="14" t="n">
        <v>480</v>
      </c>
      <c r="H101" s="14" t="n">
        <v>3</v>
      </c>
    </row>
    <row r="102" customFormat="false" ht="15" hidden="false" customHeight="false" outlineLevel="0" collapsed="false">
      <c r="A102" s="14" t="s">
        <v>245</v>
      </c>
      <c r="B102" s="15" t="n">
        <v>46283</v>
      </c>
      <c r="C102" s="14" t="s">
        <v>88</v>
      </c>
      <c r="D102" s="14" t="s">
        <v>126</v>
      </c>
      <c r="E102" s="14" t="s">
        <v>64</v>
      </c>
      <c r="F102" s="14" t="s">
        <v>99</v>
      </c>
      <c r="G102" s="14" t="n">
        <v>57</v>
      </c>
      <c r="H102" s="14" t="n">
        <v>2</v>
      </c>
    </row>
    <row r="103" customFormat="false" ht="15" hidden="false" customHeight="false" outlineLevel="0" collapsed="false">
      <c r="A103" s="14" t="s">
        <v>246</v>
      </c>
      <c r="B103" s="15" t="n">
        <v>46283</v>
      </c>
      <c r="C103" s="14" t="s">
        <v>223</v>
      </c>
      <c r="D103" s="14" t="s">
        <v>209</v>
      </c>
      <c r="E103" s="14" t="s">
        <v>85</v>
      </c>
      <c r="F103" s="14" t="s">
        <v>78</v>
      </c>
      <c r="G103" s="14"/>
      <c r="H103" s="14"/>
    </row>
    <row r="104" customFormat="false" ht="15" hidden="false" customHeight="false" outlineLevel="0" collapsed="false">
      <c r="A104" s="14" t="s">
        <v>247</v>
      </c>
      <c r="B104" s="15" t="n">
        <v>46283</v>
      </c>
      <c r="C104" s="14" t="s">
        <v>223</v>
      </c>
      <c r="D104" s="14" t="s">
        <v>117</v>
      </c>
      <c r="E104" s="14" t="s">
        <v>69</v>
      </c>
      <c r="F104" s="14" t="s">
        <v>70</v>
      </c>
      <c r="G104" s="14" t="n">
        <v>12.2</v>
      </c>
      <c r="H104" s="14" t="n">
        <v>5</v>
      </c>
    </row>
    <row r="105" customFormat="false" ht="15" hidden="false" customHeight="false" outlineLevel="0" collapsed="false">
      <c r="A105" s="14" t="s">
        <v>248</v>
      </c>
      <c r="B105" s="15" t="n">
        <v>46283</v>
      </c>
      <c r="C105" s="14" t="s">
        <v>119</v>
      </c>
      <c r="D105" s="14" t="s">
        <v>68</v>
      </c>
      <c r="E105" s="14" t="s">
        <v>160</v>
      </c>
      <c r="F105" s="14" t="s">
        <v>83</v>
      </c>
      <c r="G105" s="14" t="n">
        <v>7</v>
      </c>
      <c r="H105" s="14" t="n">
        <v>5</v>
      </c>
    </row>
    <row r="106" customFormat="false" ht="15" hidden="false" customHeight="false" outlineLevel="0" collapsed="false">
      <c r="A106" s="14" t="s">
        <v>249</v>
      </c>
      <c r="B106" s="15" t="n">
        <v>46283</v>
      </c>
      <c r="C106" s="14" t="s">
        <v>151</v>
      </c>
      <c r="D106" s="14" t="s">
        <v>206</v>
      </c>
      <c r="E106" s="14" t="s">
        <v>112</v>
      </c>
      <c r="F106" s="14" t="s">
        <v>70</v>
      </c>
      <c r="G106" s="14" t="n">
        <v>27.3</v>
      </c>
      <c r="H106" s="14" t="n">
        <v>3</v>
      </c>
    </row>
    <row r="107" customFormat="false" ht="15" hidden="false" customHeight="false" outlineLevel="0" collapsed="false">
      <c r="A107" s="14" t="s">
        <v>250</v>
      </c>
      <c r="B107" s="15" t="n">
        <v>46284</v>
      </c>
      <c r="C107" s="14" t="s">
        <v>110</v>
      </c>
      <c r="D107" s="14" t="s">
        <v>198</v>
      </c>
      <c r="E107" s="14" t="s">
        <v>251</v>
      </c>
      <c r="F107" s="14" t="s">
        <v>99</v>
      </c>
      <c r="G107" s="14" t="n">
        <v>14.1</v>
      </c>
      <c r="H107" s="14" t="n">
        <v>4</v>
      </c>
    </row>
    <row r="108" customFormat="false" ht="15" hidden="false" customHeight="false" outlineLevel="0" collapsed="false">
      <c r="A108" s="14" t="s">
        <v>252</v>
      </c>
      <c r="B108" s="15" t="n">
        <v>46284</v>
      </c>
      <c r="C108" s="14" t="s">
        <v>75</v>
      </c>
      <c r="D108" s="14" t="s">
        <v>136</v>
      </c>
      <c r="E108" s="14" t="s">
        <v>69</v>
      </c>
      <c r="F108" s="14" t="s">
        <v>86</v>
      </c>
      <c r="G108" s="14" t="n">
        <v>9.4</v>
      </c>
      <c r="H108" s="14" t="n">
        <v>4</v>
      </c>
    </row>
    <row r="109" customFormat="false" ht="15" hidden="false" customHeight="false" outlineLevel="0" collapsed="false">
      <c r="A109" s="14" t="s">
        <v>253</v>
      </c>
      <c r="B109" s="15" t="n">
        <v>46285</v>
      </c>
      <c r="C109" s="14" t="s">
        <v>254</v>
      </c>
      <c r="D109" s="14" t="s">
        <v>94</v>
      </c>
      <c r="E109" s="14" t="s">
        <v>112</v>
      </c>
      <c r="F109" s="14" t="s">
        <v>99</v>
      </c>
      <c r="G109" s="14" t="n">
        <v>5.3</v>
      </c>
      <c r="H109" s="14" t="n">
        <v>4</v>
      </c>
    </row>
    <row r="110" customFormat="false" ht="15" hidden="false" customHeight="false" outlineLevel="0" collapsed="false">
      <c r="A110" s="14" t="s">
        <v>255</v>
      </c>
      <c r="B110" s="15" t="n">
        <v>46285</v>
      </c>
      <c r="C110" s="14" t="s">
        <v>182</v>
      </c>
      <c r="D110" s="14" t="s">
        <v>63</v>
      </c>
      <c r="E110" s="14" t="s">
        <v>90</v>
      </c>
      <c r="F110" s="14" t="s">
        <v>70</v>
      </c>
      <c r="G110" s="14" t="n">
        <v>17.5</v>
      </c>
      <c r="H110" s="14" t="n">
        <v>4</v>
      </c>
    </row>
    <row r="111" customFormat="false" ht="15" hidden="false" customHeight="false" outlineLevel="0" collapsed="false">
      <c r="A111" s="14" t="s">
        <v>256</v>
      </c>
      <c r="B111" s="15" t="n">
        <v>46286</v>
      </c>
      <c r="C111" s="14" t="s">
        <v>101</v>
      </c>
      <c r="D111" s="14" t="s">
        <v>121</v>
      </c>
      <c r="E111" s="14" t="s">
        <v>183</v>
      </c>
      <c r="F111" s="14" t="s">
        <v>86</v>
      </c>
      <c r="G111" s="14" t="n">
        <v>41.9</v>
      </c>
      <c r="H111" s="14" t="n">
        <v>3</v>
      </c>
    </row>
    <row r="112" customFormat="false" ht="15" hidden="false" customHeight="false" outlineLevel="0" collapsed="false">
      <c r="A112" s="14" t="s">
        <v>257</v>
      </c>
      <c r="B112" s="15" t="n">
        <v>46286</v>
      </c>
      <c r="C112" s="14" t="s">
        <v>133</v>
      </c>
      <c r="D112" s="14" t="s">
        <v>68</v>
      </c>
      <c r="E112" s="14" t="s">
        <v>69</v>
      </c>
      <c r="F112" s="14" t="s">
        <v>86</v>
      </c>
      <c r="G112" s="14" t="n">
        <v>25.3</v>
      </c>
      <c r="H112" s="14" t="n">
        <v>4</v>
      </c>
    </row>
    <row r="113" customFormat="false" ht="15" hidden="false" customHeight="false" outlineLevel="0" collapsed="false">
      <c r="A113" s="14" t="s">
        <v>258</v>
      </c>
      <c r="B113" s="15" t="n">
        <v>46286</v>
      </c>
      <c r="C113" s="14" t="s">
        <v>105</v>
      </c>
      <c r="D113" s="14" t="s">
        <v>144</v>
      </c>
      <c r="E113" s="14" t="s">
        <v>90</v>
      </c>
      <c r="F113" s="14" t="s">
        <v>83</v>
      </c>
      <c r="G113" s="14"/>
      <c r="H113" s="14"/>
    </row>
    <row r="114" customFormat="false" ht="15" hidden="false" customHeight="false" outlineLevel="0" collapsed="false">
      <c r="A114" s="14" t="s">
        <v>259</v>
      </c>
      <c r="B114" s="15" t="n">
        <v>46286</v>
      </c>
      <c r="C114" s="14" t="s">
        <v>62</v>
      </c>
      <c r="D114" s="14" t="s">
        <v>68</v>
      </c>
      <c r="E114" s="14" t="s">
        <v>64</v>
      </c>
      <c r="F114" s="14" t="s">
        <v>70</v>
      </c>
      <c r="G114" s="14" t="n">
        <v>21.2</v>
      </c>
      <c r="H114" s="14" t="n">
        <v>4</v>
      </c>
    </row>
    <row r="115" customFormat="false" ht="15" hidden="false" customHeight="false" outlineLevel="0" collapsed="false">
      <c r="A115" s="14" t="s">
        <v>260</v>
      </c>
      <c r="B115" s="15" t="n">
        <v>46286</v>
      </c>
      <c r="C115" s="14" t="s">
        <v>123</v>
      </c>
      <c r="D115" s="14" t="s">
        <v>171</v>
      </c>
      <c r="E115" s="14" t="s">
        <v>82</v>
      </c>
      <c r="F115" s="14" t="s">
        <v>70</v>
      </c>
      <c r="G115" s="14" t="n">
        <v>16</v>
      </c>
      <c r="H115" s="14" t="n">
        <v>4</v>
      </c>
    </row>
    <row r="116" customFormat="false" ht="15" hidden="false" customHeight="false" outlineLevel="0" collapsed="false">
      <c r="A116" s="14" t="s">
        <v>261</v>
      </c>
      <c r="B116" s="15" t="n">
        <v>46286</v>
      </c>
      <c r="C116" s="14" t="s">
        <v>143</v>
      </c>
      <c r="D116" s="14" t="s">
        <v>68</v>
      </c>
      <c r="E116" s="14" t="s">
        <v>251</v>
      </c>
      <c r="F116" s="14" t="s">
        <v>86</v>
      </c>
      <c r="G116" s="14" t="n">
        <v>15.4</v>
      </c>
      <c r="H116" s="14" t="n">
        <v>5</v>
      </c>
    </row>
    <row r="117" customFormat="false" ht="15" hidden="false" customHeight="false" outlineLevel="0" collapsed="false">
      <c r="A117" s="14" t="s">
        <v>262</v>
      </c>
      <c r="B117" s="15" t="n">
        <v>46287</v>
      </c>
      <c r="C117" s="14" t="s">
        <v>123</v>
      </c>
      <c r="D117" s="14" t="s">
        <v>171</v>
      </c>
      <c r="E117" s="14" t="s">
        <v>90</v>
      </c>
      <c r="F117" s="14" t="s">
        <v>70</v>
      </c>
      <c r="G117" s="14" t="n">
        <v>18.7</v>
      </c>
      <c r="H117" s="14" t="n">
        <v>4</v>
      </c>
    </row>
    <row r="118" customFormat="false" ht="15" hidden="false" customHeight="false" outlineLevel="0" collapsed="false">
      <c r="A118" s="14" t="s">
        <v>263</v>
      </c>
      <c r="B118" s="15" t="n">
        <v>46287</v>
      </c>
      <c r="C118" s="14" t="s">
        <v>67</v>
      </c>
      <c r="D118" s="14" t="s">
        <v>111</v>
      </c>
      <c r="E118" s="14" t="s">
        <v>90</v>
      </c>
      <c r="F118" s="14" t="s">
        <v>70</v>
      </c>
      <c r="G118" s="14" t="n">
        <v>13.6</v>
      </c>
      <c r="H118" s="14" t="n">
        <v>5</v>
      </c>
    </row>
    <row r="119" customFormat="false" ht="15" hidden="false" customHeight="false" outlineLevel="0" collapsed="false">
      <c r="A119" s="14" t="s">
        <v>264</v>
      </c>
      <c r="B119" s="15" t="n">
        <v>46287</v>
      </c>
      <c r="C119" s="14" t="s">
        <v>67</v>
      </c>
      <c r="D119" s="14" t="s">
        <v>209</v>
      </c>
      <c r="E119" s="14" t="s">
        <v>112</v>
      </c>
      <c r="F119" s="14" t="s">
        <v>99</v>
      </c>
      <c r="G119" s="14"/>
      <c r="H119" s="14"/>
    </row>
    <row r="120" customFormat="false" ht="15" hidden="false" customHeight="false" outlineLevel="0" collapsed="false">
      <c r="A120" s="14" t="s">
        <v>265</v>
      </c>
      <c r="B120" s="15" t="n">
        <v>46287</v>
      </c>
      <c r="C120" s="14" t="s">
        <v>123</v>
      </c>
      <c r="D120" s="14" t="s">
        <v>266</v>
      </c>
      <c r="E120" s="14" t="s">
        <v>85</v>
      </c>
      <c r="F120" s="14" t="s">
        <v>99</v>
      </c>
      <c r="G120" s="14" t="n">
        <v>22.5</v>
      </c>
      <c r="H120" s="14" t="n">
        <v>3</v>
      </c>
    </row>
    <row r="121" customFormat="false" ht="15" hidden="false" customHeight="false" outlineLevel="0" collapsed="false">
      <c r="A121" s="14" t="s">
        <v>267</v>
      </c>
      <c r="B121" s="15" t="n">
        <v>46287</v>
      </c>
      <c r="C121" s="14" t="s">
        <v>105</v>
      </c>
      <c r="D121" s="14" t="s">
        <v>171</v>
      </c>
      <c r="E121" s="14" t="s">
        <v>69</v>
      </c>
      <c r="F121" s="14" t="s">
        <v>95</v>
      </c>
      <c r="G121" s="14" t="n">
        <v>33.1</v>
      </c>
      <c r="H121" s="14" t="n">
        <v>4</v>
      </c>
    </row>
    <row r="122" customFormat="false" ht="15" hidden="false" customHeight="false" outlineLevel="0" collapsed="false">
      <c r="A122" s="14" t="s">
        <v>268</v>
      </c>
      <c r="B122" s="15" t="n">
        <v>46288</v>
      </c>
      <c r="C122" s="14" t="s">
        <v>128</v>
      </c>
      <c r="D122" s="14" t="s">
        <v>126</v>
      </c>
      <c r="E122" s="14" t="s">
        <v>251</v>
      </c>
      <c r="F122" s="14" t="s">
        <v>86</v>
      </c>
      <c r="G122" s="14" t="n">
        <v>4.6</v>
      </c>
      <c r="H122" s="14"/>
    </row>
    <row r="123" customFormat="false" ht="15" hidden="false" customHeight="false" outlineLevel="0" collapsed="false">
      <c r="A123" s="14" t="s">
        <v>269</v>
      </c>
      <c r="B123" s="15" t="n">
        <v>46288</v>
      </c>
      <c r="C123" s="14" t="s">
        <v>97</v>
      </c>
      <c r="D123" s="14" t="s">
        <v>176</v>
      </c>
      <c r="E123" s="14" t="s">
        <v>69</v>
      </c>
      <c r="F123" s="14" t="s">
        <v>70</v>
      </c>
      <c r="G123" s="14" t="n">
        <v>15.8</v>
      </c>
      <c r="H123" s="14" t="n">
        <v>4</v>
      </c>
    </row>
    <row r="124" customFormat="false" ht="15" hidden="false" customHeight="false" outlineLevel="0" collapsed="false">
      <c r="A124" s="14" t="s">
        <v>270</v>
      </c>
      <c r="B124" s="15" t="n">
        <v>46288</v>
      </c>
      <c r="C124" s="14" t="s">
        <v>182</v>
      </c>
      <c r="D124" s="14" t="s">
        <v>89</v>
      </c>
      <c r="E124" s="14" t="s">
        <v>234</v>
      </c>
      <c r="F124" s="14" t="s">
        <v>99</v>
      </c>
      <c r="G124" s="14" t="n">
        <v>30.4</v>
      </c>
      <c r="H124" s="14"/>
    </row>
    <row r="125" customFormat="false" ht="15" hidden="false" customHeight="false" outlineLevel="0" collapsed="false">
      <c r="A125" s="14" t="s">
        <v>271</v>
      </c>
      <c r="B125" s="15" t="n">
        <v>46289</v>
      </c>
      <c r="C125" s="14" t="s">
        <v>254</v>
      </c>
      <c r="D125" s="14" t="s">
        <v>111</v>
      </c>
      <c r="E125" s="14" t="s">
        <v>103</v>
      </c>
      <c r="F125" s="14" t="s">
        <v>95</v>
      </c>
      <c r="G125" s="14" t="n">
        <v>9.6</v>
      </c>
      <c r="H125" s="14" t="n">
        <v>4</v>
      </c>
    </row>
    <row r="126" customFormat="false" ht="15" hidden="false" customHeight="false" outlineLevel="0" collapsed="false">
      <c r="A126" s="14" t="s">
        <v>272</v>
      </c>
      <c r="B126" s="15" t="n">
        <v>46289</v>
      </c>
      <c r="C126" s="14" t="s">
        <v>75</v>
      </c>
      <c r="D126" s="14" t="s">
        <v>92</v>
      </c>
      <c r="E126" s="14" t="s">
        <v>90</v>
      </c>
      <c r="F126" s="14" t="s">
        <v>78</v>
      </c>
      <c r="G126" s="14"/>
      <c r="H126" s="14"/>
    </row>
    <row r="127" customFormat="false" ht="15" hidden="false" customHeight="false" outlineLevel="0" collapsed="false">
      <c r="A127" s="14" t="s">
        <v>273</v>
      </c>
      <c r="B127" s="15" t="n">
        <v>46289</v>
      </c>
      <c r="C127" s="14" t="s">
        <v>101</v>
      </c>
      <c r="D127" s="14" t="s">
        <v>89</v>
      </c>
      <c r="E127" s="14" t="s">
        <v>90</v>
      </c>
      <c r="F127" s="14" t="s">
        <v>70</v>
      </c>
      <c r="G127" s="14" t="n">
        <v>9.2</v>
      </c>
      <c r="H127" s="14" t="n">
        <v>5</v>
      </c>
    </row>
    <row r="128" customFormat="false" ht="15" hidden="false" customHeight="false" outlineLevel="0" collapsed="false">
      <c r="A128" s="14" t="s">
        <v>274</v>
      </c>
      <c r="B128" s="15" t="n">
        <v>46290</v>
      </c>
      <c r="C128" s="14" t="s">
        <v>254</v>
      </c>
      <c r="D128" s="14" t="s">
        <v>68</v>
      </c>
      <c r="E128" s="14" t="s">
        <v>115</v>
      </c>
      <c r="F128" s="14" t="s">
        <v>70</v>
      </c>
      <c r="G128" s="14" t="n">
        <v>17.9</v>
      </c>
      <c r="H128" s="14" t="n">
        <v>4</v>
      </c>
    </row>
    <row r="129" customFormat="false" ht="15" hidden="false" customHeight="false" outlineLevel="0" collapsed="false">
      <c r="A129" s="14" t="s">
        <v>275</v>
      </c>
      <c r="B129" s="15" t="n">
        <v>46290</v>
      </c>
      <c r="C129" s="14" t="s">
        <v>88</v>
      </c>
      <c r="D129" s="14" t="s">
        <v>121</v>
      </c>
      <c r="E129" s="14" t="s">
        <v>276</v>
      </c>
      <c r="F129" s="14" t="s">
        <v>70</v>
      </c>
      <c r="G129" s="14"/>
      <c r="H129" s="14"/>
    </row>
    <row r="130" customFormat="false" ht="15" hidden="false" customHeight="false" outlineLevel="0" collapsed="false">
      <c r="A130" s="14" t="s">
        <v>277</v>
      </c>
      <c r="B130" s="15" t="n">
        <v>46290</v>
      </c>
      <c r="C130" s="14" t="s">
        <v>128</v>
      </c>
      <c r="D130" s="14" t="s">
        <v>111</v>
      </c>
      <c r="E130" s="14" t="s">
        <v>69</v>
      </c>
      <c r="F130" s="14" t="s">
        <v>95</v>
      </c>
      <c r="G130" s="14" t="n">
        <v>14.2</v>
      </c>
      <c r="H130" s="14"/>
    </row>
    <row r="131" customFormat="false" ht="15" hidden="false" customHeight="false" outlineLevel="0" collapsed="false">
      <c r="A131" s="14" t="s">
        <v>278</v>
      </c>
      <c r="B131" s="15" t="n">
        <v>46290</v>
      </c>
      <c r="C131" s="14" t="s">
        <v>88</v>
      </c>
      <c r="D131" s="14" t="s">
        <v>111</v>
      </c>
      <c r="E131" s="14" t="s">
        <v>220</v>
      </c>
      <c r="F131" s="14" t="s">
        <v>65</v>
      </c>
      <c r="G131" s="14"/>
      <c r="H131" s="14"/>
    </row>
    <row r="132" customFormat="false" ht="15" hidden="false" customHeight="false" outlineLevel="0" collapsed="false">
      <c r="A132" s="14" t="s">
        <v>279</v>
      </c>
      <c r="B132" s="15" t="n">
        <v>46290</v>
      </c>
      <c r="C132" s="14" t="s">
        <v>88</v>
      </c>
      <c r="D132" s="14" t="s">
        <v>121</v>
      </c>
      <c r="E132" s="14" t="s">
        <v>234</v>
      </c>
      <c r="F132" s="14" t="s">
        <v>70</v>
      </c>
      <c r="G132" s="14"/>
      <c r="H132" s="14"/>
    </row>
    <row r="133" customFormat="false" ht="15" hidden="false" customHeight="false" outlineLevel="0" collapsed="false">
      <c r="A133" s="14" t="s">
        <v>280</v>
      </c>
      <c r="B133" s="15" t="n">
        <v>46290</v>
      </c>
      <c r="C133" s="14" t="s">
        <v>67</v>
      </c>
      <c r="D133" s="14" t="s">
        <v>94</v>
      </c>
      <c r="E133" s="14" t="s">
        <v>276</v>
      </c>
      <c r="F133" s="14" t="s">
        <v>78</v>
      </c>
      <c r="G133" s="14"/>
      <c r="H133" s="14"/>
    </row>
    <row r="134" customFormat="false" ht="15" hidden="false" customHeight="false" outlineLevel="0" collapsed="false">
      <c r="A134" s="14" t="s">
        <v>281</v>
      </c>
      <c r="B134" s="15" t="n">
        <v>46291</v>
      </c>
      <c r="C134" s="14" t="s">
        <v>105</v>
      </c>
      <c r="D134" s="14" t="s">
        <v>111</v>
      </c>
      <c r="E134" s="14" t="s">
        <v>124</v>
      </c>
      <c r="F134" s="14" t="s">
        <v>86</v>
      </c>
      <c r="G134" s="14" t="n">
        <v>9.1</v>
      </c>
      <c r="H134" s="14" t="n">
        <v>5</v>
      </c>
    </row>
    <row r="135" customFormat="false" ht="15" hidden="false" customHeight="false" outlineLevel="0" collapsed="false">
      <c r="A135" s="14" t="s">
        <v>282</v>
      </c>
      <c r="B135" s="15" t="n">
        <v>46291</v>
      </c>
      <c r="C135" s="14" t="s">
        <v>182</v>
      </c>
      <c r="D135" s="14" t="s">
        <v>180</v>
      </c>
      <c r="E135" s="14" t="s">
        <v>124</v>
      </c>
      <c r="F135" s="14" t="s">
        <v>78</v>
      </c>
      <c r="G135" s="14"/>
      <c r="H135" s="14"/>
    </row>
    <row r="136" customFormat="false" ht="15" hidden="false" customHeight="false" outlineLevel="0" collapsed="false">
      <c r="A136" s="14" t="s">
        <v>283</v>
      </c>
      <c r="B136" s="15" t="n">
        <v>46292</v>
      </c>
      <c r="C136" s="14" t="s">
        <v>114</v>
      </c>
      <c r="D136" s="14" t="s">
        <v>130</v>
      </c>
      <c r="E136" s="14" t="s">
        <v>157</v>
      </c>
      <c r="F136" s="14" t="s">
        <v>70</v>
      </c>
      <c r="G136" s="14" t="n">
        <v>10.9</v>
      </c>
      <c r="H136" s="14" t="n">
        <v>4</v>
      </c>
    </row>
    <row r="137" customFormat="false" ht="15" hidden="false" customHeight="false" outlineLevel="0" collapsed="false">
      <c r="A137" s="14" t="s">
        <v>284</v>
      </c>
      <c r="B137" s="15" t="n">
        <v>46292</v>
      </c>
      <c r="C137" s="14" t="s">
        <v>114</v>
      </c>
      <c r="D137" s="14" t="s">
        <v>92</v>
      </c>
      <c r="E137" s="14" t="s">
        <v>107</v>
      </c>
      <c r="F137" s="14" t="s">
        <v>83</v>
      </c>
      <c r="G137" s="14" t="n">
        <v>7.5</v>
      </c>
      <c r="H137" s="14"/>
    </row>
    <row r="138" customFormat="false" ht="15" hidden="false" customHeight="false" outlineLevel="0" collapsed="false">
      <c r="A138" s="14" t="s">
        <v>285</v>
      </c>
      <c r="B138" s="15" t="n">
        <v>46292</v>
      </c>
      <c r="C138" s="14" t="s">
        <v>75</v>
      </c>
      <c r="D138" s="14" t="s">
        <v>286</v>
      </c>
      <c r="E138" s="14" t="s">
        <v>69</v>
      </c>
      <c r="F138" s="14" t="s">
        <v>70</v>
      </c>
      <c r="G138" s="14" t="n">
        <v>16.5</v>
      </c>
      <c r="H138" s="14" t="n">
        <v>4</v>
      </c>
    </row>
    <row r="139" customFormat="false" ht="15" hidden="false" customHeight="false" outlineLevel="0" collapsed="false">
      <c r="A139" s="14" t="s">
        <v>287</v>
      </c>
      <c r="B139" s="15" t="n">
        <v>46292</v>
      </c>
      <c r="C139" s="14" t="s">
        <v>101</v>
      </c>
      <c r="D139" s="14" t="s">
        <v>68</v>
      </c>
      <c r="E139" s="14" t="s">
        <v>69</v>
      </c>
      <c r="F139" s="14" t="s">
        <v>70</v>
      </c>
      <c r="G139" s="14" t="n">
        <v>11.3</v>
      </c>
      <c r="H139" s="14" t="n">
        <v>5</v>
      </c>
    </row>
    <row r="140" customFormat="false" ht="15" hidden="false" customHeight="false" outlineLevel="0" collapsed="false">
      <c r="A140" s="14" t="s">
        <v>288</v>
      </c>
      <c r="B140" s="15" t="n">
        <v>46292</v>
      </c>
      <c r="C140" s="14" t="s">
        <v>105</v>
      </c>
      <c r="D140" s="14" t="s">
        <v>102</v>
      </c>
      <c r="E140" s="14" t="s">
        <v>112</v>
      </c>
      <c r="F140" s="14" t="s">
        <v>95</v>
      </c>
      <c r="G140" s="14" t="n">
        <v>19.8</v>
      </c>
      <c r="H140" s="14" t="n">
        <v>4</v>
      </c>
    </row>
    <row r="141" customFormat="false" ht="15" hidden="false" customHeight="false" outlineLevel="0" collapsed="false">
      <c r="A141" s="14" t="s">
        <v>289</v>
      </c>
      <c r="B141" s="15" t="n">
        <v>46293</v>
      </c>
      <c r="C141" s="14" t="s">
        <v>188</v>
      </c>
      <c r="D141" s="14" t="s">
        <v>68</v>
      </c>
      <c r="E141" s="14" t="s">
        <v>183</v>
      </c>
      <c r="F141" s="14" t="s">
        <v>65</v>
      </c>
      <c r="G141" s="14"/>
      <c r="H141" s="14"/>
    </row>
    <row r="142" customFormat="false" ht="15" hidden="false" customHeight="false" outlineLevel="0" collapsed="false">
      <c r="A142" s="14" t="s">
        <v>290</v>
      </c>
      <c r="B142" s="15" t="n">
        <v>46293</v>
      </c>
      <c r="C142" s="14" t="s">
        <v>105</v>
      </c>
      <c r="D142" s="14" t="s">
        <v>121</v>
      </c>
      <c r="E142" s="14" t="s">
        <v>85</v>
      </c>
      <c r="F142" s="14" t="s">
        <v>70</v>
      </c>
      <c r="G142" s="14" t="n">
        <v>33.4</v>
      </c>
      <c r="H142" s="14"/>
    </row>
    <row r="143" customFormat="false" ht="15" hidden="false" customHeight="false" outlineLevel="0" collapsed="false">
      <c r="A143" s="14" t="s">
        <v>291</v>
      </c>
      <c r="B143" s="15" t="n">
        <v>46293</v>
      </c>
      <c r="C143" s="14" t="s">
        <v>128</v>
      </c>
      <c r="D143" s="14" t="s">
        <v>171</v>
      </c>
      <c r="E143" s="14" t="s">
        <v>183</v>
      </c>
      <c r="F143" s="14" t="s">
        <v>99</v>
      </c>
      <c r="G143" s="14" t="n">
        <v>14.6</v>
      </c>
      <c r="H143" s="14" t="n">
        <v>3</v>
      </c>
    </row>
    <row r="144" customFormat="false" ht="15" hidden="false" customHeight="false" outlineLevel="0" collapsed="false">
      <c r="A144" s="14" t="s">
        <v>292</v>
      </c>
      <c r="B144" s="15" t="n">
        <v>46294</v>
      </c>
      <c r="C144" s="14" t="s">
        <v>105</v>
      </c>
      <c r="D144" s="14" t="s">
        <v>117</v>
      </c>
      <c r="E144" s="14" t="s">
        <v>90</v>
      </c>
      <c r="F144" s="14" t="s">
        <v>99</v>
      </c>
      <c r="G144" s="14" t="n">
        <v>22.6</v>
      </c>
      <c r="H144" s="14" t="n">
        <v>4</v>
      </c>
    </row>
    <row r="145" customFormat="false" ht="15" hidden="false" customHeight="false" outlineLevel="0" collapsed="false">
      <c r="A145" s="14" t="s">
        <v>293</v>
      </c>
      <c r="B145" s="15" t="n">
        <v>46294</v>
      </c>
      <c r="C145" s="14" t="s">
        <v>101</v>
      </c>
      <c r="D145" s="14" t="s">
        <v>126</v>
      </c>
      <c r="E145" s="14" t="s">
        <v>103</v>
      </c>
      <c r="F145" s="14" t="s">
        <v>86</v>
      </c>
      <c r="G145" s="14" t="n">
        <v>8.9</v>
      </c>
      <c r="H145" s="14" t="n">
        <v>4</v>
      </c>
    </row>
    <row r="146" customFormat="false" ht="15" hidden="false" customHeight="false" outlineLevel="0" collapsed="false">
      <c r="A146" s="14" t="s">
        <v>294</v>
      </c>
      <c r="B146" s="15" t="n">
        <v>46294</v>
      </c>
      <c r="C146" s="14" t="s">
        <v>88</v>
      </c>
      <c r="D146" s="14" t="s">
        <v>117</v>
      </c>
      <c r="E146" s="14" t="s">
        <v>124</v>
      </c>
      <c r="F146" s="14" t="s">
        <v>70</v>
      </c>
      <c r="G146" s="14" t="n">
        <v>44.9</v>
      </c>
      <c r="H146" s="14" t="n">
        <v>4</v>
      </c>
    </row>
    <row r="147" customFormat="false" ht="15" hidden="false" customHeight="false" outlineLevel="0" collapsed="false">
      <c r="A147" s="14" t="s">
        <v>295</v>
      </c>
      <c r="B147" s="15" t="n">
        <v>46294</v>
      </c>
      <c r="C147" s="14" t="s">
        <v>123</v>
      </c>
      <c r="D147" s="14" t="s">
        <v>102</v>
      </c>
      <c r="E147" s="14" t="s">
        <v>69</v>
      </c>
      <c r="F147" s="14" t="s">
        <v>86</v>
      </c>
      <c r="G147" s="14" t="n">
        <v>17.8</v>
      </c>
      <c r="H147" s="14" t="n">
        <v>5</v>
      </c>
    </row>
    <row r="148" customFormat="false" ht="15" hidden="false" customHeight="false" outlineLevel="0" collapsed="false">
      <c r="A148" s="14" t="s">
        <v>296</v>
      </c>
      <c r="B148" s="15" t="n">
        <v>46295</v>
      </c>
      <c r="C148" s="14" t="s">
        <v>128</v>
      </c>
      <c r="D148" s="14" t="s">
        <v>76</v>
      </c>
      <c r="E148" s="14" t="s">
        <v>103</v>
      </c>
      <c r="F148" s="14" t="s">
        <v>83</v>
      </c>
      <c r="G148" s="14" t="n">
        <v>11</v>
      </c>
      <c r="H148" s="14" t="n">
        <v>4</v>
      </c>
    </row>
    <row r="149" customFormat="false" ht="15" hidden="false" customHeight="false" outlineLevel="0" collapsed="false">
      <c r="A149" s="14" t="s">
        <v>297</v>
      </c>
      <c r="B149" s="15" t="n">
        <v>46295</v>
      </c>
      <c r="C149" s="14" t="s">
        <v>62</v>
      </c>
      <c r="D149" s="14" t="s">
        <v>130</v>
      </c>
      <c r="E149" s="14" t="s">
        <v>103</v>
      </c>
      <c r="F149" s="14" t="s">
        <v>70</v>
      </c>
      <c r="G149" s="14" t="n">
        <v>6.7</v>
      </c>
      <c r="H149" s="14" t="n">
        <v>5</v>
      </c>
    </row>
    <row r="150" customFormat="false" ht="15" hidden="false" customHeight="false" outlineLevel="0" collapsed="false">
      <c r="A150" s="14" t="s">
        <v>298</v>
      </c>
      <c r="B150" s="15" t="n">
        <v>46295</v>
      </c>
      <c r="C150" s="14" t="s">
        <v>110</v>
      </c>
      <c r="D150" s="14" t="s">
        <v>144</v>
      </c>
      <c r="E150" s="14" t="s">
        <v>85</v>
      </c>
      <c r="F150" s="14" t="s">
        <v>70</v>
      </c>
      <c r="G150" s="14" t="n">
        <v>18</v>
      </c>
      <c r="H150" s="14" t="n">
        <v>4</v>
      </c>
    </row>
    <row r="151" customFormat="false" ht="15" hidden="false" customHeight="false" outlineLevel="0" collapsed="false">
      <c r="A151" s="14" t="s">
        <v>299</v>
      </c>
      <c r="B151" s="15" t="n">
        <v>46295</v>
      </c>
      <c r="C151" s="14" t="s">
        <v>119</v>
      </c>
      <c r="D151" s="14" t="s">
        <v>68</v>
      </c>
      <c r="E151" s="14" t="s">
        <v>69</v>
      </c>
      <c r="F151" s="14" t="s">
        <v>99</v>
      </c>
      <c r="G151" s="14" t="n">
        <v>14.8</v>
      </c>
      <c r="H151" s="14" t="n">
        <v>5</v>
      </c>
    </row>
    <row r="152" customFormat="false" ht="15" hidden="false" customHeight="false" outlineLevel="0" collapsed="false">
      <c r="A152" s="14" t="s">
        <v>159</v>
      </c>
      <c r="B152" s="15" t="n">
        <v>46271</v>
      </c>
      <c r="C152" s="14" t="s">
        <v>114</v>
      </c>
      <c r="D152" s="14" t="s">
        <v>180</v>
      </c>
      <c r="E152" s="14" t="s">
        <v>160</v>
      </c>
      <c r="F152" s="14" t="s">
        <v>300</v>
      </c>
      <c r="G152" s="14"/>
      <c r="H152" s="14"/>
    </row>
    <row r="153" customFormat="false" ht="15" hidden="false" customHeight="false" outlineLevel="0" collapsed="false">
      <c r="A153" s="14" t="s">
        <v>199</v>
      </c>
      <c r="B153" s="15" t="n">
        <v>46276</v>
      </c>
      <c r="C153" s="14" t="s">
        <v>168</v>
      </c>
      <c r="D153" s="14" t="s">
        <v>63</v>
      </c>
      <c r="E153" s="14" t="s">
        <v>82</v>
      </c>
      <c r="F153" s="14" t="s">
        <v>99</v>
      </c>
      <c r="G153" s="14" t="n">
        <v>6.8</v>
      </c>
      <c r="H153" s="14" t="n">
        <v>5</v>
      </c>
    </row>
    <row r="154" customFormat="false" ht="15" hidden="false" customHeight="false" outlineLevel="0" collapsed="false">
      <c r="A154" s="14" t="s">
        <v>225</v>
      </c>
      <c r="B154" s="15" t="n">
        <v>46280</v>
      </c>
      <c r="C154" s="14" t="s">
        <v>182</v>
      </c>
      <c r="D154" s="14" t="s">
        <v>68</v>
      </c>
      <c r="E154" s="14" t="s">
        <v>160</v>
      </c>
      <c r="F154" s="14" t="s">
        <v>70</v>
      </c>
      <c r="G154" s="14" t="n">
        <v>12.3</v>
      </c>
      <c r="H154" s="14" t="n">
        <v>5</v>
      </c>
    </row>
    <row r="155" customFormat="false" ht="15" hidden="false" customHeight="false" outlineLevel="0" collapsed="false">
      <c r="A155" s="14" t="s">
        <v>282</v>
      </c>
      <c r="B155" s="15" t="n">
        <v>46291</v>
      </c>
      <c r="C155" s="14" t="s">
        <v>188</v>
      </c>
      <c r="D155" s="14" t="s">
        <v>130</v>
      </c>
      <c r="E155" s="14" t="s">
        <v>90</v>
      </c>
      <c r="F155" s="14" t="s">
        <v>108</v>
      </c>
      <c r="G155" s="14"/>
      <c r="H155" s="14"/>
    </row>
    <row r="156" customFormat="false" ht="15" hidden="false" customHeight="false" outlineLevel="0" collapsed="false">
      <c r="A156" s="14" t="s">
        <v>232</v>
      </c>
      <c r="B156" s="15" t="n">
        <v>46281</v>
      </c>
      <c r="C156" s="14" t="s">
        <v>97</v>
      </c>
      <c r="D156" s="14" t="s">
        <v>117</v>
      </c>
      <c r="E156" s="14" t="s">
        <v>183</v>
      </c>
      <c r="F156" s="14" t="s">
        <v>83</v>
      </c>
      <c r="G156" s="14" t="n">
        <v>9</v>
      </c>
      <c r="H156" s="14"/>
    </row>
    <row r="157" customFormat="false" ht="15" hidden="false" customHeight="false" outlineLevel="0" collapsed="false">
      <c r="A157" s="14" t="s">
        <v>163</v>
      </c>
      <c r="B157" s="15" t="n">
        <v>46272</v>
      </c>
      <c r="C157" s="14" t="s">
        <v>182</v>
      </c>
      <c r="D157" s="14" t="s">
        <v>76</v>
      </c>
      <c r="E157" s="14" t="s">
        <v>251</v>
      </c>
      <c r="F157" s="14" t="s">
        <v>95</v>
      </c>
      <c r="G157" s="14" t="n">
        <v>9.4</v>
      </c>
      <c r="H157" s="14" t="n">
        <v>5</v>
      </c>
    </row>
  </sheetData>
  <autoFilter ref="A1:H1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8" min="7" style="0" width="8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10"/>
    <col collapsed="false" customWidth="true" hidden="false" outlineLevel="0" max="14" min="14" style="0" width="55"/>
  </cols>
  <sheetData>
    <row r="1" customFormat="false" ht="51.75" hidden="false" customHeight="true" outlineLevel="0" collapsed="false">
      <c r="A1" s="9" t="s">
        <v>52</v>
      </c>
      <c r="B1" s="9" t="s">
        <v>53</v>
      </c>
      <c r="C1" s="9" t="s">
        <v>54</v>
      </c>
      <c r="D1" s="9" t="s">
        <v>55</v>
      </c>
      <c r="E1" s="9" t="s">
        <v>56</v>
      </c>
      <c r="F1" s="9" t="s">
        <v>57</v>
      </c>
      <c r="G1" s="9" t="s">
        <v>301</v>
      </c>
      <c r="H1" s="9" t="s">
        <v>302</v>
      </c>
      <c r="I1" s="9" t="s">
        <v>303</v>
      </c>
      <c r="J1" s="9" t="s">
        <v>304</v>
      </c>
      <c r="K1" s="9" t="s">
        <v>305</v>
      </c>
      <c r="L1" s="9" t="s">
        <v>306</v>
      </c>
      <c r="N1" s="13" t="s">
        <v>307</v>
      </c>
    </row>
    <row r="2" customFormat="false" ht="15" hidden="false" customHeight="false" outlineLevel="0" collapsed="false">
      <c r="A2" s="16" t="str">
        <f aca="false">TRIM(Raw_Data!A2)</f>
        <v>TKT-1001</v>
      </c>
      <c r="B2" s="17" t="n">
        <f aca="false">IF(ISNUMBER(Raw_Data!B2),Raw_Data!B2,DATEVALUE(TRIM(Raw_Data!B2)))</f>
        <v>46266</v>
      </c>
      <c r="C2" s="16" t="str">
        <f aca="false">PROPER(TRIM(Raw_Data!C2))</f>
        <v>Liam O'Brien</v>
      </c>
      <c r="D2" s="16" t="str">
        <f aca="false">PROPER(TRIM(Raw_Data!D2))</f>
        <v>Login Issue</v>
      </c>
      <c r="E2" s="16" t="str">
        <f aca="false">PROPER(TRIM(Raw_Data!E2))</f>
        <v>Low</v>
      </c>
      <c r="F2" s="16" t="str">
        <f aca="false">PROPER(TRIM(Raw_Data!F2))</f>
        <v>Escalated</v>
      </c>
      <c r="G2" s="18" t="str">
        <f aca="false">IF(Raw_Data!G2="","",IF(Raw_Data!G2&gt;Brief!$C$17,"",Raw_Data!G2))</f>
        <v/>
      </c>
      <c r="H2" s="16" t="str">
        <f aca="false">IF(Raw_Data!H2="","",Raw_Data!H2)</f>
        <v/>
      </c>
      <c r="I2" s="16" t="str">
        <f aca="false">IF(COUNTIF($A$2:A2,A2)&gt;1,"Duplicate","OK")</f>
        <v>OK</v>
      </c>
      <c r="J2" s="16" t="str">
        <f aca="false">IF(ISNUMBER(Raw_Data!B2),"","Text date fixed")</f>
        <v/>
      </c>
      <c r="K2" s="16" t="str">
        <f aca="false">IF(Raw_Data!G2="",IF(F2="Resolved","Missing hours",""),IF(Raw_Data!G2&gt;Brief!$C$17,"Outlier removed",""))</f>
        <v/>
      </c>
      <c r="L2" s="16" t="n">
        <f aca="false">IF(I2="OK",1,0)</f>
        <v>1</v>
      </c>
    </row>
    <row r="3" customFormat="false" ht="15" hidden="false" customHeight="false" outlineLevel="0" collapsed="false">
      <c r="A3" s="16" t="str">
        <f aca="false">TRIM(Raw_Data!A3)</f>
        <v>TKT-1002</v>
      </c>
      <c r="B3" s="17" t="n">
        <f aca="false">IF(ISNUMBER(Raw_Data!B3),Raw_Data!B3,DATEVALUE(TRIM(Raw_Data!B3)))</f>
        <v>46266</v>
      </c>
      <c r="C3" s="16" t="str">
        <f aca="false">PROPER(TRIM(Raw_Data!C3))</f>
        <v>Sofia Rossi</v>
      </c>
      <c r="D3" s="16" t="str">
        <f aca="false">PROPER(TRIM(Raw_Data!D3))</f>
        <v>Billing</v>
      </c>
      <c r="E3" s="16" t="str">
        <f aca="false">PROPER(TRIM(Raw_Data!E3))</f>
        <v>Medium</v>
      </c>
      <c r="F3" s="16" t="str">
        <f aca="false">PROPER(TRIM(Raw_Data!F3))</f>
        <v>Resolved</v>
      </c>
      <c r="G3" s="18" t="n">
        <f aca="false">IF(Raw_Data!G3="","",IF(Raw_Data!G3&gt;Brief!$C$17,"",Raw_Data!G3))</f>
        <v>57.6</v>
      </c>
      <c r="H3" s="16" t="n">
        <f aca="false">IF(Raw_Data!H3="","",Raw_Data!H3)</f>
        <v>3</v>
      </c>
      <c r="I3" s="16" t="str">
        <f aca="false">IF(COUNTIF($A$2:A3,A3)&gt;1,"Duplicate","OK")</f>
        <v>OK</v>
      </c>
      <c r="J3" s="16" t="str">
        <f aca="false">IF(ISNUMBER(Raw_Data!B3),"","Text date fixed")</f>
        <v/>
      </c>
      <c r="K3" s="16" t="str">
        <f aca="false">IF(Raw_Data!G3="",IF(F3="Resolved","Missing hours",""),IF(Raw_Data!G3&gt;Brief!$C$17,"Outlier removed",""))</f>
        <v/>
      </c>
      <c r="L3" s="16" t="n">
        <f aca="false">IF(I3="OK",1,0)</f>
        <v>1</v>
      </c>
    </row>
    <row r="4" customFormat="false" ht="15" hidden="false" customHeight="false" outlineLevel="0" collapsed="false">
      <c r="A4" s="16" t="str">
        <f aca="false">TRIM(Raw_Data!A4)</f>
        <v>TKT-1003</v>
      </c>
      <c r="B4" s="17" t="n">
        <f aca="false">IF(ISNUMBER(Raw_Data!B4),Raw_Data!B4,DATEVALUE(TRIM(Raw_Data!B4)))</f>
        <v>46266</v>
      </c>
      <c r="C4" s="16" t="str">
        <f aca="false">PROPER(TRIM(Raw_Data!C4))</f>
        <v>Sofia Rossi</v>
      </c>
      <c r="D4" s="16" t="str">
        <f aca="false">PROPER(TRIM(Raw_Data!D4))</f>
        <v>Feature Request</v>
      </c>
      <c r="E4" s="16" t="str">
        <f aca="false">PROPER(TRIM(Raw_Data!E4))</f>
        <v>Medium</v>
      </c>
      <c r="F4" s="16" t="str">
        <f aca="false">PROPER(TRIM(Raw_Data!F4))</f>
        <v>Resolved</v>
      </c>
      <c r="G4" s="18" t="n">
        <f aca="false">IF(Raw_Data!G4="","",IF(Raw_Data!G4&gt;Brief!$C$17,"",Raw_Data!G4))</f>
        <v>20.1</v>
      </c>
      <c r="H4" s="16" t="n">
        <f aca="false">IF(Raw_Data!H4="","",Raw_Data!H4)</f>
        <v>3</v>
      </c>
      <c r="I4" s="16" t="str">
        <f aca="false">IF(COUNTIF($A$2:A4,A4)&gt;1,"Duplicate","OK")</f>
        <v>OK</v>
      </c>
      <c r="J4" s="16" t="str">
        <f aca="false">IF(ISNUMBER(Raw_Data!B4),"","Text date fixed")</f>
        <v/>
      </c>
      <c r="K4" s="16" t="str">
        <f aca="false">IF(Raw_Data!G4="",IF(F4="Resolved","Missing hours",""),IF(Raw_Data!G4&gt;Brief!$C$17,"Outlier removed",""))</f>
        <v/>
      </c>
      <c r="L4" s="16" t="n">
        <f aca="false">IF(I4="OK",1,0)</f>
        <v>1</v>
      </c>
    </row>
    <row r="5" customFormat="false" ht="15" hidden="false" customHeight="false" outlineLevel="0" collapsed="false">
      <c r="A5" s="16" t="str">
        <f aca="false">TRIM(Raw_Data!A5)</f>
        <v>TKT-1004</v>
      </c>
      <c r="B5" s="17" t="n">
        <f aca="false">IF(ISNUMBER(Raw_Data!B5),Raw_Data!B5,DATEVALUE(TRIM(Raw_Data!B5)))</f>
        <v>46266</v>
      </c>
      <c r="C5" s="16" t="str">
        <f aca="false">PROPER(TRIM(Raw_Data!C5))</f>
        <v>Ava Johnson</v>
      </c>
      <c r="D5" s="16" t="str">
        <f aca="false">PROPER(TRIM(Raw_Data!D5))</f>
        <v>Delivery</v>
      </c>
      <c r="E5" s="16" t="str">
        <f aca="false">PROPER(TRIM(Raw_Data!E5))</f>
        <v>Urgent</v>
      </c>
      <c r="F5" s="16" t="str">
        <f aca="false">PROPER(TRIM(Raw_Data!F5))</f>
        <v>Open</v>
      </c>
      <c r="G5" s="18" t="str">
        <f aca="false">IF(Raw_Data!G5="","",IF(Raw_Data!G5&gt;Brief!$C$17,"",Raw_Data!G5))</f>
        <v/>
      </c>
      <c r="H5" s="16" t="str">
        <f aca="false">IF(Raw_Data!H5="","",Raw_Data!H5)</f>
        <v/>
      </c>
      <c r="I5" s="16" t="str">
        <f aca="false">IF(COUNTIF($A$2:A5,A5)&gt;1,"Duplicate","OK")</f>
        <v>OK</v>
      </c>
      <c r="J5" s="16" t="str">
        <f aca="false">IF(ISNUMBER(Raw_Data!B5),"","Text date fixed")</f>
        <v/>
      </c>
      <c r="K5" s="16" t="str">
        <f aca="false">IF(Raw_Data!G5="",IF(F5="Resolved","Missing hours",""),IF(Raw_Data!G5&gt;Brief!$C$17,"Outlier removed",""))</f>
        <v/>
      </c>
      <c r="L5" s="16" t="n">
        <f aca="false">IF(I5="OK",1,0)</f>
        <v>1</v>
      </c>
    </row>
    <row r="6" customFormat="false" ht="15" hidden="false" customHeight="false" outlineLevel="0" collapsed="false">
      <c r="A6" s="16" t="str">
        <f aca="false">TRIM(Raw_Data!A6)</f>
        <v>TKT-1005</v>
      </c>
      <c r="B6" s="17" t="n">
        <f aca="false">IF(ISNUMBER(Raw_Data!B6),Raw_Data!B6,DATEVALUE(TRIM(Raw_Data!B6)))</f>
        <v>46266</v>
      </c>
      <c r="C6" s="16" t="str">
        <f aca="false">PROPER(TRIM(Raw_Data!C6))</f>
        <v>Liam O'Brien</v>
      </c>
      <c r="D6" s="16" t="str">
        <f aca="false">PROPER(TRIM(Raw_Data!D6))</f>
        <v>Delivery</v>
      </c>
      <c r="E6" s="16" t="str">
        <f aca="false">PROPER(TRIM(Raw_Data!E6))</f>
        <v>High</v>
      </c>
      <c r="F6" s="16" t="str">
        <f aca="false">PROPER(TRIM(Raw_Data!F6))</f>
        <v>Resolved</v>
      </c>
      <c r="G6" s="18" t="n">
        <f aca="false">IF(Raw_Data!G6="","",IF(Raw_Data!G6&gt;Brief!$C$17,"",Raw_Data!G6))</f>
        <v>7.4</v>
      </c>
      <c r="H6" s="16" t="n">
        <f aca="false">IF(Raw_Data!H6="","",Raw_Data!H6)</f>
        <v>5</v>
      </c>
      <c r="I6" s="16" t="str">
        <f aca="false">IF(COUNTIF($A$2:A6,A6)&gt;1,"Duplicate","OK")</f>
        <v>OK</v>
      </c>
      <c r="J6" s="16" t="str">
        <f aca="false">IF(ISNUMBER(Raw_Data!B6),"","Text date fixed")</f>
        <v/>
      </c>
      <c r="K6" s="16" t="str">
        <f aca="false">IF(Raw_Data!G6="",IF(F6="Resolved","Missing hours",""),IF(Raw_Data!G6&gt;Brief!$C$17,"Outlier removed",""))</f>
        <v/>
      </c>
      <c r="L6" s="16" t="n">
        <f aca="false">IF(I6="OK",1,0)</f>
        <v>1</v>
      </c>
    </row>
    <row r="7" customFormat="false" ht="15" hidden="false" customHeight="false" outlineLevel="0" collapsed="false">
      <c r="A7" s="16" t="str">
        <f aca="false">TRIM(Raw_Data!A7)</f>
        <v>TKT-1006</v>
      </c>
      <c r="B7" s="17" t="n">
        <f aca="false">IF(ISNUMBER(Raw_Data!B7),Raw_Data!B7,DATEVALUE(TRIM(Raw_Data!B7)))</f>
        <v>46266</v>
      </c>
      <c r="C7" s="16" t="str">
        <f aca="false">PROPER(TRIM(Raw_Data!C7))</f>
        <v>Sofia Rossi</v>
      </c>
      <c r="D7" s="16" t="str">
        <f aca="false">PROPER(TRIM(Raw_Data!D7))</f>
        <v>Billing</v>
      </c>
      <c r="E7" s="16" t="str">
        <f aca="false">PROPER(TRIM(Raw_Data!E7))</f>
        <v>Medium</v>
      </c>
      <c r="F7" s="16" t="str">
        <f aca="false">PROPER(TRIM(Raw_Data!F7))</f>
        <v>Resolved</v>
      </c>
      <c r="G7" s="18" t="n">
        <f aca="false">IF(Raw_Data!G7="","",IF(Raw_Data!G7&gt;Brief!$C$17,"",Raw_Data!G7))</f>
        <v>48.8</v>
      </c>
      <c r="H7" s="16" t="n">
        <f aca="false">IF(Raw_Data!H7="","",Raw_Data!H7)</f>
        <v>3</v>
      </c>
      <c r="I7" s="16" t="str">
        <f aca="false">IF(COUNTIF($A$2:A7,A7)&gt;1,"Duplicate","OK")</f>
        <v>OK</v>
      </c>
      <c r="J7" s="16" t="str">
        <f aca="false">IF(ISNUMBER(Raw_Data!B7),"","Text date fixed")</f>
        <v/>
      </c>
      <c r="K7" s="16" t="str">
        <f aca="false">IF(Raw_Data!G7="",IF(F7="Resolved","Missing hours",""),IF(Raw_Data!G7&gt;Brief!$C$17,"Outlier removed",""))</f>
        <v/>
      </c>
      <c r="L7" s="16" t="n">
        <f aca="false">IF(I7="OK",1,0)</f>
        <v>1</v>
      </c>
    </row>
    <row r="8" customFormat="false" ht="15" hidden="false" customHeight="false" outlineLevel="0" collapsed="false">
      <c r="A8" s="16" t="str">
        <f aca="false">TRIM(Raw_Data!A8)</f>
        <v>TKT-1007</v>
      </c>
      <c r="B8" s="17" t="n">
        <f aca="false">IF(ISNUMBER(Raw_Data!B8),Raw_Data!B8,DATEVALUE(TRIM(Raw_Data!B8)))</f>
        <v>46267</v>
      </c>
      <c r="C8" s="16" t="str">
        <f aca="false">PROPER(TRIM(Raw_Data!C8))</f>
        <v>Sofia Rossi</v>
      </c>
      <c r="D8" s="16" t="str">
        <f aca="false">PROPER(TRIM(Raw_Data!D8))</f>
        <v>Billing</v>
      </c>
      <c r="E8" s="16" t="str">
        <f aca="false">PROPER(TRIM(Raw_Data!E8))</f>
        <v>Low</v>
      </c>
      <c r="F8" s="16" t="str">
        <f aca="false">PROPER(TRIM(Raw_Data!F8))</f>
        <v>Resolved</v>
      </c>
      <c r="G8" s="18" t="n">
        <f aca="false">IF(Raw_Data!G8="","",IF(Raw_Data!G8&gt;Brief!$C$17,"",Raw_Data!G8))</f>
        <v>21</v>
      </c>
      <c r="H8" s="16" t="str">
        <f aca="false">IF(Raw_Data!H8="","",Raw_Data!H8)</f>
        <v/>
      </c>
      <c r="I8" s="16" t="str">
        <f aca="false">IF(COUNTIF($A$2:A8,A8)&gt;1,"Duplicate","OK")</f>
        <v>OK</v>
      </c>
      <c r="J8" s="16" t="str">
        <f aca="false">IF(ISNUMBER(Raw_Data!B8),"","Text date fixed")</f>
        <v/>
      </c>
      <c r="K8" s="16" t="str">
        <f aca="false">IF(Raw_Data!G8="",IF(F8="Resolved","Missing hours",""),IF(Raw_Data!G8&gt;Brief!$C$17,"Outlier removed",""))</f>
        <v/>
      </c>
      <c r="L8" s="16" t="n">
        <f aca="false">IF(I8="OK",1,0)</f>
        <v>1</v>
      </c>
    </row>
    <row r="9" customFormat="false" ht="15" hidden="false" customHeight="false" outlineLevel="0" collapsed="false">
      <c r="A9" s="16" t="str">
        <f aca="false">TRIM(Raw_Data!A9)</f>
        <v>TKT-1008</v>
      </c>
      <c r="B9" s="17" t="n">
        <f aca="false">IF(ISNUMBER(Raw_Data!B9),Raw_Data!B9,DATEVALUE(TRIM(Raw_Data!B9)))</f>
        <v>46267</v>
      </c>
      <c r="C9" s="16" t="str">
        <f aca="false">PROPER(TRIM(Raw_Data!C9))</f>
        <v>Sofia Rossi</v>
      </c>
      <c r="D9" s="16" t="str">
        <f aca="false">PROPER(TRIM(Raw_Data!D9))</f>
        <v>Delivery</v>
      </c>
      <c r="E9" s="16" t="str">
        <f aca="false">PROPER(TRIM(Raw_Data!E9))</f>
        <v>Low</v>
      </c>
      <c r="F9" s="16" t="str">
        <f aca="false">PROPER(TRIM(Raw_Data!F9))</f>
        <v>Resolved</v>
      </c>
      <c r="G9" s="18" t="n">
        <f aca="false">IF(Raw_Data!G9="","",IF(Raw_Data!G9&gt;Brief!$C$17,"",Raw_Data!G9))</f>
        <v>41.5</v>
      </c>
      <c r="H9" s="16" t="n">
        <f aca="false">IF(Raw_Data!H9="","",Raw_Data!H9)</f>
        <v>3</v>
      </c>
      <c r="I9" s="16" t="str">
        <f aca="false">IF(COUNTIF($A$2:A9,A9)&gt;1,"Duplicate","OK")</f>
        <v>OK</v>
      </c>
      <c r="J9" s="16" t="str">
        <f aca="false">IF(ISNUMBER(Raw_Data!B9),"","Text date fixed")</f>
        <v/>
      </c>
      <c r="K9" s="16" t="str">
        <f aca="false">IF(Raw_Data!G9="",IF(F9="Resolved","Missing hours",""),IF(Raw_Data!G9&gt;Brief!$C$17,"Outlier removed",""))</f>
        <v/>
      </c>
      <c r="L9" s="16" t="n">
        <f aca="false">IF(I9="OK",1,0)</f>
        <v>1</v>
      </c>
    </row>
    <row r="10" customFormat="false" ht="15" hidden="false" customHeight="false" outlineLevel="0" collapsed="false">
      <c r="A10" s="16" t="str">
        <f aca="false">TRIM(Raw_Data!A10)</f>
        <v>TKT-1009</v>
      </c>
      <c r="B10" s="17" t="n">
        <f aca="false">IF(ISNUMBER(Raw_Data!B10),Raw_Data!B10,DATEVALUE(TRIM(Raw_Data!B10)))</f>
        <v>46267</v>
      </c>
      <c r="C10" s="16" t="str">
        <f aca="false">PROPER(TRIM(Raw_Data!C10))</f>
        <v>Sofia Rossi</v>
      </c>
      <c r="D10" s="16" t="str">
        <f aca="false">PROPER(TRIM(Raw_Data!D10))</f>
        <v>Billing</v>
      </c>
      <c r="E10" s="16" t="str">
        <f aca="false">PROPER(TRIM(Raw_Data!E10))</f>
        <v>Urgent</v>
      </c>
      <c r="F10" s="16" t="str">
        <f aca="false">PROPER(TRIM(Raw_Data!F10))</f>
        <v>Resolved</v>
      </c>
      <c r="G10" s="18" t="n">
        <f aca="false">IF(Raw_Data!G10="","",IF(Raw_Data!G10&gt;Brief!$C$17,"",Raw_Data!G10))</f>
        <v>5.5</v>
      </c>
      <c r="H10" s="16" t="n">
        <f aca="false">IF(Raw_Data!H10="","",Raw_Data!H10)</f>
        <v>5</v>
      </c>
      <c r="I10" s="16" t="str">
        <f aca="false">IF(COUNTIF($A$2:A10,A10)&gt;1,"Duplicate","OK")</f>
        <v>OK</v>
      </c>
      <c r="J10" s="16" t="str">
        <f aca="false">IF(ISNUMBER(Raw_Data!B10),"","Text date fixed")</f>
        <v/>
      </c>
      <c r="K10" s="16" t="str">
        <f aca="false">IF(Raw_Data!G10="",IF(F10="Resolved","Missing hours",""),IF(Raw_Data!G10&gt;Brief!$C$17,"Outlier removed",""))</f>
        <v/>
      </c>
      <c r="L10" s="16" t="n">
        <f aca="false">IF(I10="OK",1,0)</f>
        <v>1</v>
      </c>
    </row>
    <row r="11" customFormat="false" ht="15" hidden="false" customHeight="false" outlineLevel="0" collapsed="false">
      <c r="A11" s="16" t="str">
        <f aca="false">TRIM(Raw_Data!A11)</f>
        <v>TKT-1010</v>
      </c>
      <c r="B11" s="17" t="n">
        <f aca="false">IF(ISNUMBER(Raw_Data!B11),Raw_Data!B11,DATEVALUE(TRIM(Raw_Data!B11)))</f>
        <v>46267</v>
      </c>
      <c r="C11" s="16" t="str">
        <f aca="false">PROPER(TRIM(Raw_Data!C11))</f>
        <v>Maya Patel</v>
      </c>
      <c r="D11" s="16" t="str">
        <f aca="false">PROPER(TRIM(Raw_Data!D11))</f>
        <v>Billing</v>
      </c>
      <c r="E11" s="16" t="str">
        <f aca="false">PROPER(TRIM(Raw_Data!E11))</f>
        <v>Urgent</v>
      </c>
      <c r="F11" s="16" t="str">
        <f aca="false">PROPER(TRIM(Raw_Data!F11))</f>
        <v>Resolved</v>
      </c>
      <c r="G11" s="18" t="n">
        <f aca="false">IF(Raw_Data!G11="","",IF(Raw_Data!G11&gt;Brief!$C$17,"",Raw_Data!G11))</f>
        <v>3.8</v>
      </c>
      <c r="H11" s="16" t="n">
        <f aca="false">IF(Raw_Data!H11="","",Raw_Data!H11)</f>
        <v>5</v>
      </c>
      <c r="I11" s="16" t="str">
        <f aca="false">IF(COUNTIF($A$2:A11,A11)&gt;1,"Duplicate","OK")</f>
        <v>OK</v>
      </c>
      <c r="J11" s="16" t="str">
        <f aca="false">IF(ISNUMBER(Raw_Data!B11),"","Text date fixed")</f>
        <v/>
      </c>
      <c r="K11" s="16" t="str">
        <f aca="false">IF(Raw_Data!G11="",IF(F11="Resolved","Missing hours",""),IF(Raw_Data!G11&gt;Brief!$C$17,"Outlier removed",""))</f>
        <v/>
      </c>
      <c r="L11" s="16" t="n">
        <f aca="false">IF(I11="OK",1,0)</f>
        <v>1</v>
      </c>
    </row>
    <row r="12" customFormat="false" ht="15" hidden="false" customHeight="false" outlineLevel="0" collapsed="false">
      <c r="A12" s="16" t="str">
        <f aca="false">TRIM(Raw_Data!A12)</f>
        <v>TKT-1011</v>
      </c>
      <c r="B12" s="17" t="n">
        <f aca="false">IF(ISNUMBER(Raw_Data!B12),Raw_Data!B12,DATEVALUE(TRIM(Raw_Data!B12)))</f>
        <v>46267</v>
      </c>
      <c r="C12" s="16" t="str">
        <f aca="false">PROPER(TRIM(Raw_Data!C12))</f>
        <v>Maya Patel</v>
      </c>
      <c r="D12" s="16" t="str">
        <f aca="false">PROPER(TRIM(Raw_Data!D12))</f>
        <v>Delivery</v>
      </c>
      <c r="E12" s="16" t="str">
        <f aca="false">PROPER(TRIM(Raw_Data!E12))</f>
        <v>High</v>
      </c>
      <c r="F12" s="16" t="str">
        <f aca="false">PROPER(TRIM(Raw_Data!F12))</f>
        <v>Resolved</v>
      </c>
      <c r="G12" s="18" t="n">
        <f aca="false">IF(Raw_Data!G12="","",IF(Raw_Data!G12&gt;Brief!$C$17,"",Raw_Data!G12))</f>
        <v>11.5</v>
      </c>
      <c r="H12" s="16" t="n">
        <f aca="false">IF(Raw_Data!H12="","",Raw_Data!H12)</f>
        <v>5</v>
      </c>
      <c r="I12" s="16" t="str">
        <f aca="false">IF(COUNTIF($A$2:A12,A12)&gt;1,"Duplicate","OK")</f>
        <v>OK</v>
      </c>
      <c r="J12" s="16" t="str">
        <f aca="false">IF(ISNUMBER(Raw_Data!B12),"","Text date fixed")</f>
        <v/>
      </c>
      <c r="K12" s="16" t="str">
        <f aca="false">IF(Raw_Data!G12="",IF(F12="Resolved","Missing hours",""),IF(Raw_Data!G12&gt;Brief!$C$17,"Outlier removed",""))</f>
        <v/>
      </c>
      <c r="L12" s="16" t="n">
        <f aca="false">IF(I12="OK",1,0)</f>
        <v>1</v>
      </c>
    </row>
    <row r="13" customFormat="false" ht="15" hidden="false" customHeight="false" outlineLevel="0" collapsed="false">
      <c r="A13" s="16" t="str">
        <f aca="false">TRIM(Raw_Data!A13)</f>
        <v>TKT-1012</v>
      </c>
      <c r="B13" s="17" t="n">
        <f aca="false">IF(ISNUMBER(Raw_Data!B13),Raw_Data!B13,DATEVALUE(TRIM(Raw_Data!B13)))</f>
        <v>46267</v>
      </c>
      <c r="C13" s="16" t="str">
        <f aca="false">PROPER(TRIM(Raw_Data!C13))</f>
        <v>Maya Patel</v>
      </c>
      <c r="D13" s="16" t="str">
        <f aca="false">PROPER(TRIM(Raw_Data!D13))</f>
        <v>Billing</v>
      </c>
      <c r="E13" s="16" t="str">
        <f aca="false">PROPER(TRIM(Raw_Data!E13))</f>
        <v>Low</v>
      </c>
      <c r="F13" s="16" t="str">
        <f aca="false">PROPER(TRIM(Raw_Data!F13))</f>
        <v>Resolved</v>
      </c>
      <c r="G13" s="18" t="n">
        <f aca="false">IF(Raw_Data!G13="","",IF(Raw_Data!G13&gt;Brief!$C$17,"",Raw_Data!G13))</f>
        <v>24.3</v>
      </c>
      <c r="H13" s="16" t="n">
        <f aca="false">IF(Raw_Data!H13="","",Raw_Data!H13)</f>
        <v>4</v>
      </c>
      <c r="I13" s="16" t="str">
        <f aca="false">IF(COUNTIF($A$2:A13,A13)&gt;1,"Duplicate","OK")</f>
        <v>OK</v>
      </c>
      <c r="J13" s="16" t="str">
        <f aca="false">IF(ISNUMBER(Raw_Data!B13),"","Text date fixed")</f>
        <v/>
      </c>
      <c r="K13" s="16" t="str">
        <f aca="false">IF(Raw_Data!G13="",IF(F13="Resolved","Missing hours",""),IF(Raw_Data!G13&gt;Brief!$C$17,"Outlier removed",""))</f>
        <v/>
      </c>
      <c r="L13" s="16" t="n">
        <f aca="false">IF(I13="OK",1,0)</f>
        <v>1</v>
      </c>
    </row>
    <row r="14" customFormat="false" ht="15" hidden="false" customHeight="false" outlineLevel="0" collapsed="false">
      <c r="A14" s="16" t="str">
        <f aca="false">TRIM(Raw_Data!A14)</f>
        <v>TKT-1013</v>
      </c>
      <c r="B14" s="17" t="n">
        <f aca="false">IF(ISNUMBER(Raw_Data!B14),Raw_Data!B14,DATEVALUE(TRIM(Raw_Data!B14)))</f>
        <v>46267</v>
      </c>
      <c r="C14" s="16" t="str">
        <f aca="false">PROPER(TRIM(Raw_Data!C14))</f>
        <v>Liam O'Brien</v>
      </c>
      <c r="D14" s="16" t="str">
        <f aca="false">PROPER(TRIM(Raw_Data!D14))</f>
        <v>Billing</v>
      </c>
      <c r="E14" s="16" t="str">
        <f aca="false">PROPER(TRIM(Raw_Data!E14))</f>
        <v>High</v>
      </c>
      <c r="F14" s="16" t="str">
        <f aca="false">PROPER(TRIM(Raw_Data!F14))</f>
        <v>Open</v>
      </c>
      <c r="G14" s="18" t="str">
        <f aca="false">IF(Raw_Data!G14="","",IF(Raw_Data!G14&gt;Brief!$C$17,"",Raw_Data!G14))</f>
        <v/>
      </c>
      <c r="H14" s="16" t="str">
        <f aca="false">IF(Raw_Data!H14="","",Raw_Data!H14)</f>
        <v/>
      </c>
      <c r="I14" s="16" t="str">
        <f aca="false">IF(COUNTIF($A$2:A14,A14)&gt;1,"Duplicate","OK")</f>
        <v>OK</v>
      </c>
      <c r="J14" s="16" t="str">
        <f aca="false">IF(ISNUMBER(Raw_Data!B14),"","Text date fixed")</f>
        <v/>
      </c>
      <c r="K14" s="16" t="str">
        <f aca="false">IF(Raw_Data!G14="",IF(F14="Resolved","Missing hours",""),IF(Raw_Data!G14&gt;Brief!$C$17,"Outlier removed",""))</f>
        <v/>
      </c>
      <c r="L14" s="16" t="n">
        <f aca="false">IF(I14="OK",1,0)</f>
        <v>1</v>
      </c>
    </row>
    <row r="15" customFormat="false" ht="15" hidden="false" customHeight="false" outlineLevel="0" collapsed="false">
      <c r="A15" s="16" t="str">
        <f aca="false">TRIM(Raw_Data!A15)</f>
        <v>TKT-1014</v>
      </c>
      <c r="B15" s="17" t="n">
        <f aca="false">IF(ISNUMBER(Raw_Data!B15),Raw_Data!B15,DATEVALUE(TRIM(Raw_Data!B15)))</f>
        <v>46267</v>
      </c>
      <c r="C15" s="16" t="str">
        <f aca="false">PROPER(TRIM(Raw_Data!C15))</f>
        <v>Ava Johnson</v>
      </c>
      <c r="D15" s="16" t="str">
        <f aca="false">PROPER(TRIM(Raw_Data!D15))</f>
        <v>Delivery</v>
      </c>
      <c r="E15" s="16" t="str">
        <f aca="false">PROPER(TRIM(Raw_Data!E15))</f>
        <v>Medium</v>
      </c>
      <c r="F15" s="16" t="str">
        <f aca="false">PROPER(TRIM(Raw_Data!F15))</f>
        <v>Open</v>
      </c>
      <c r="G15" s="18" t="str">
        <f aca="false">IF(Raw_Data!G15="","",IF(Raw_Data!G15&gt;Brief!$C$17,"",Raw_Data!G15))</f>
        <v/>
      </c>
      <c r="H15" s="16" t="str">
        <f aca="false">IF(Raw_Data!H15="","",Raw_Data!H15)</f>
        <v/>
      </c>
      <c r="I15" s="16" t="str">
        <f aca="false">IF(COUNTIF($A$2:A15,A15)&gt;1,"Duplicate","OK")</f>
        <v>OK</v>
      </c>
      <c r="J15" s="16" t="str">
        <f aca="false">IF(ISNUMBER(Raw_Data!B15),"","Text date fixed")</f>
        <v/>
      </c>
      <c r="K15" s="16" t="str">
        <f aca="false">IF(Raw_Data!G15="",IF(F15="Resolved","Missing hours",""),IF(Raw_Data!G15&gt;Brief!$C$17,"Outlier removed",""))</f>
        <v/>
      </c>
      <c r="L15" s="16" t="n">
        <f aca="false">IF(I15="OK",1,0)</f>
        <v>1</v>
      </c>
    </row>
    <row r="16" customFormat="false" ht="15" hidden="false" customHeight="false" outlineLevel="0" collapsed="false">
      <c r="A16" s="16" t="str">
        <f aca="false">TRIM(Raw_Data!A16)</f>
        <v>TKT-1015</v>
      </c>
      <c r="B16" s="17" t="n">
        <f aca="false">IF(ISNUMBER(Raw_Data!B16),Raw_Data!B16,DATEVALUE(TRIM(Raw_Data!B16)))</f>
        <v>46267</v>
      </c>
      <c r="C16" s="16" t="str">
        <f aca="false">PROPER(TRIM(Raw_Data!C16))</f>
        <v>Ava Johnson</v>
      </c>
      <c r="D16" s="16" t="str">
        <f aca="false">PROPER(TRIM(Raw_Data!D16))</f>
        <v>Billing</v>
      </c>
      <c r="E16" s="16" t="str">
        <f aca="false">PROPER(TRIM(Raw_Data!E16))</f>
        <v>Low</v>
      </c>
      <c r="F16" s="16" t="str">
        <f aca="false">PROPER(TRIM(Raw_Data!F16))</f>
        <v>Resolved</v>
      </c>
      <c r="G16" s="18" t="n">
        <f aca="false">IF(Raw_Data!G16="","",IF(Raw_Data!G16&gt;Brief!$C$17,"",Raw_Data!G16))</f>
        <v>23.3</v>
      </c>
      <c r="H16" s="16" t="n">
        <f aca="false">IF(Raw_Data!H16="","",Raw_Data!H16)</f>
        <v>4</v>
      </c>
      <c r="I16" s="16" t="str">
        <f aca="false">IF(COUNTIF($A$2:A16,A16)&gt;1,"Duplicate","OK")</f>
        <v>OK</v>
      </c>
      <c r="J16" s="16" t="str">
        <f aca="false">IF(ISNUMBER(Raw_Data!B16),"","Text date fixed")</f>
        <v/>
      </c>
      <c r="K16" s="16" t="str">
        <f aca="false">IF(Raw_Data!G16="",IF(F16="Resolved","Missing hours",""),IF(Raw_Data!G16&gt;Brief!$C$17,"Outlier removed",""))</f>
        <v/>
      </c>
      <c r="L16" s="16" t="n">
        <f aca="false">IF(I16="OK",1,0)</f>
        <v>1</v>
      </c>
    </row>
    <row r="17" customFormat="false" ht="15" hidden="false" customHeight="false" outlineLevel="0" collapsed="false">
      <c r="A17" s="16" t="str">
        <f aca="false">TRIM(Raw_Data!A17)</f>
        <v>TKT-1016</v>
      </c>
      <c r="B17" s="17" t="n">
        <f aca="false">IF(ISNUMBER(Raw_Data!B17),Raw_Data!B17,DATEVALUE(TRIM(Raw_Data!B17)))</f>
        <v>46267</v>
      </c>
      <c r="C17" s="16" t="str">
        <f aca="false">PROPER(TRIM(Raw_Data!C17))</f>
        <v>Maya Patel</v>
      </c>
      <c r="D17" s="16" t="str">
        <f aca="false">PROPER(TRIM(Raw_Data!D17))</f>
        <v>Bug Report</v>
      </c>
      <c r="E17" s="16" t="str">
        <f aca="false">PROPER(TRIM(Raw_Data!E17))</f>
        <v>Medium</v>
      </c>
      <c r="F17" s="16" t="str">
        <f aca="false">PROPER(TRIM(Raw_Data!F17))</f>
        <v>Resolved</v>
      </c>
      <c r="G17" s="18" t="n">
        <f aca="false">IF(Raw_Data!G17="","",IF(Raw_Data!G17&gt;Brief!$C$17,"",Raw_Data!G17))</f>
        <v>18.7</v>
      </c>
      <c r="H17" s="16" t="str">
        <f aca="false">IF(Raw_Data!H17="","",Raw_Data!H17)</f>
        <v/>
      </c>
      <c r="I17" s="16" t="str">
        <f aca="false">IF(COUNTIF($A$2:A17,A17)&gt;1,"Duplicate","OK")</f>
        <v>OK</v>
      </c>
      <c r="J17" s="16" t="str">
        <f aca="false">IF(ISNUMBER(Raw_Data!B17),"","Text date fixed")</f>
        <v/>
      </c>
      <c r="K17" s="16" t="str">
        <f aca="false">IF(Raw_Data!G17="",IF(F17="Resolved","Missing hours",""),IF(Raw_Data!G17&gt;Brief!$C$17,"Outlier removed",""))</f>
        <v/>
      </c>
      <c r="L17" s="16" t="n">
        <f aca="false">IF(I17="OK",1,0)</f>
        <v>1</v>
      </c>
    </row>
    <row r="18" customFormat="false" ht="15" hidden="false" customHeight="false" outlineLevel="0" collapsed="false">
      <c r="A18" s="16" t="str">
        <f aca="false">TRIM(Raw_Data!A18)</f>
        <v>TKT-1017</v>
      </c>
      <c r="B18" s="17" t="n">
        <f aca="false">IF(ISNUMBER(Raw_Data!B18),Raw_Data!B18,DATEVALUE(TRIM(Raw_Data!B18)))</f>
        <v>46267</v>
      </c>
      <c r="C18" s="16" t="str">
        <f aca="false">PROPER(TRIM(Raw_Data!C18))</f>
        <v>Ava Johnson</v>
      </c>
      <c r="D18" s="16" t="str">
        <f aca="false">PROPER(TRIM(Raw_Data!D18))</f>
        <v>Billing</v>
      </c>
      <c r="E18" s="16" t="str">
        <f aca="false">PROPER(TRIM(Raw_Data!E18))</f>
        <v>Low</v>
      </c>
      <c r="F18" s="16" t="str">
        <f aca="false">PROPER(TRIM(Raw_Data!F18))</f>
        <v>Resolved</v>
      </c>
      <c r="G18" s="18" t="n">
        <f aca="false">IF(Raw_Data!G18="","",IF(Raw_Data!G18&gt;Brief!$C$17,"",Raw_Data!G18))</f>
        <v>8.2</v>
      </c>
      <c r="H18" s="16" t="str">
        <f aca="false">IF(Raw_Data!H18="","",Raw_Data!H18)</f>
        <v/>
      </c>
      <c r="I18" s="16" t="str">
        <f aca="false">IF(COUNTIF($A$2:A18,A18)&gt;1,"Duplicate","OK")</f>
        <v>OK</v>
      </c>
      <c r="J18" s="16" t="str">
        <f aca="false">IF(ISNUMBER(Raw_Data!B18),"","Text date fixed")</f>
        <v/>
      </c>
      <c r="K18" s="16" t="str">
        <f aca="false">IF(Raw_Data!G18="",IF(F18="Resolved","Missing hours",""),IF(Raw_Data!G18&gt;Brief!$C$17,"Outlier removed",""))</f>
        <v/>
      </c>
      <c r="L18" s="16" t="n">
        <f aca="false">IF(I18="OK",1,0)</f>
        <v>1</v>
      </c>
    </row>
    <row r="19" customFormat="false" ht="15" hidden="false" customHeight="false" outlineLevel="0" collapsed="false">
      <c r="A19" s="16" t="str">
        <f aca="false">TRIM(Raw_Data!A19)</f>
        <v>TKT-1018</v>
      </c>
      <c r="B19" s="17" t="n">
        <f aca="false">IF(ISNUMBER(Raw_Data!B19),Raw_Data!B19,DATEVALUE(TRIM(Raw_Data!B19)))</f>
        <v>46267</v>
      </c>
      <c r="C19" s="16" t="str">
        <f aca="false">PROPER(TRIM(Raw_Data!C19))</f>
        <v>Sofia Rossi</v>
      </c>
      <c r="D19" s="16" t="str">
        <f aca="false">PROPER(TRIM(Raw_Data!D19))</f>
        <v>Bug Report</v>
      </c>
      <c r="E19" s="16" t="str">
        <f aca="false">PROPER(TRIM(Raw_Data!E19))</f>
        <v>Medium</v>
      </c>
      <c r="F19" s="16" t="str">
        <f aca="false">PROPER(TRIM(Raw_Data!F19))</f>
        <v>Resolved</v>
      </c>
      <c r="G19" s="18" t="n">
        <f aca="false">IF(Raw_Data!G19="","",IF(Raw_Data!G19&gt;Brief!$C$17,"",Raw_Data!G19))</f>
        <v>25.4</v>
      </c>
      <c r="H19" s="16" t="n">
        <f aca="false">IF(Raw_Data!H19="","",Raw_Data!H19)</f>
        <v>4</v>
      </c>
      <c r="I19" s="16" t="str">
        <f aca="false">IF(COUNTIF($A$2:A19,A19)&gt;1,"Duplicate","OK")</f>
        <v>OK</v>
      </c>
      <c r="J19" s="16" t="str">
        <f aca="false">IF(ISNUMBER(Raw_Data!B19),"","Text date fixed")</f>
        <v/>
      </c>
      <c r="K19" s="16" t="str">
        <f aca="false">IF(Raw_Data!G19="",IF(F19="Resolved","Missing hours",""),IF(Raw_Data!G19&gt;Brief!$C$17,"Outlier removed",""))</f>
        <v/>
      </c>
      <c r="L19" s="16" t="n">
        <f aca="false">IF(I19="OK",1,0)</f>
        <v>1</v>
      </c>
    </row>
    <row r="20" customFormat="false" ht="15" hidden="false" customHeight="false" outlineLevel="0" collapsed="false">
      <c r="A20" s="16" t="str">
        <f aca="false">TRIM(Raw_Data!A20)</f>
        <v>TKT-1019</v>
      </c>
      <c r="B20" s="17" t="n">
        <f aca="false">IF(ISNUMBER(Raw_Data!B20),Raw_Data!B20,DATEVALUE(TRIM(Raw_Data!B20)))</f>
        <v>46267</v>
      </c>
      <c r="C20" s="16" t="str">
        <f aca="false">PROPER(TRIM(Raw_Data!C20))</f>
        <v>Noah Kim</v>
      </c>
      <c r="D20" s="16" t="str">
        <f aca="false">PROPER(TRIM(Raw_Data!D20))</f>
        <v>Login Issue</v>
      </c>
      <c r="E20" s="16" t="str">
        <f aca="false">PROPER(TRIM(Raw_Data!E20))</f>
        <v>Low</v>
      </c>
      <c r="F20" s="16" t="str">
        <f aca="false">PROPER(TRIM(Raw_Data!F20))</f>
        <v>Resolved</v>
      </c>
      <c r="G20" s="18" t="n">
        <f aca="false">IF(Raw_Data!G20="","",IF(Raw_Data!G20&gt;Brief!$C$17,"",Raw_Data!G20))</f>
        <v>13.9</v>
      </c>
      <c r="H20" s="16" t="n">
        <f aca="false">IF(Raw_Data!H20="","",Raw_Data!H20)</f>
        <v>4</v>
      </c>
      <c r="I20" s="16" t="str">
        <f aca="false">IF(COUNTIF($A$2:A20,A20)&gt;1,"Duplicate","OK")</f>
        <v>OK</v>
      </c>
      <c r="J20" s="16" t="str">
        <f aca="false">IF(ISNUMBER(Raw_Data!B20),"","Text date fixed")</f>
        <v/>
      </c>
      <c r="K20" s="16" t="str">
        <f aca="false">IF(Raw_Data!G20="",IF(F20="Resolved","Missing hours",""),IF(Raw_Data!G20&gt;Brief!$C$17,"Outlier removed",""))</f>
        <v/>
      </c>
      <c r="L20" s="16" t="n">
        <f aca="false">IF(I20="OK",1,0)</f>
        <v>1</v>
      </c>
    </row>
    <row r="21" customFormat="false" ht="15" hidden="false" customHeight="false" outlineLevel="0" collapsed="false">
      <c r="A21" s="16" t="str">
        <f aca="false">TRIM(Raw_Data!A21)</f>
        <v>TKT-1020</v>
      </c>
      <c r="B21" s="17" t="n">
        <f aca="false">IF(ISNUMBER(Raw_Data!B21),Raw_Data!B21,DATEVALUE(TRIM(Raw_Data!B21)))</f>
        <v>46268</v>
      </c>
      <c r="C21" s="16" t="str">
        <f aca="false">PROPER(TRIM(Raw_Data!C21))</f>
        <v>Liam O'Brien</v>
      </c>
      <c r="D21" s="16" t="str">
        <f aca="false">PROPER(TRIM(Raw_Data!D21))</f>
        <v>Login Issue</v>
      </c>
      <c r="E21" s="16" t="str">
        <f aca="false">PROPER(TRIM(Raw_Data!E21))</f>
        <v>Low</v>
      </c>
      <c r="F21" s="16" t="str">
        <f aca="false">PROPER(TRIM(Raw_Data!F21))</f>
        <v>Resolved</v>
      </c>
      <c r="G21" s="18" t="n">
        <f aca="false">IF(Raw_Data!G21="","",IF(Raw_Data!G21&gt;Brief!$C$17,"",Raw_Data!G21))</f>
        <v>15.1</v>
      </c>
      <c r="H21" s="16" t="n">
        <f aca="false">IF(Raw_Data!H21="","",Raw_Data!H21)</f>
        <v>5</v>
      </c>
      <c r="I21" s="16" t="str">
        <f aca="false">IF(COUNTIF($A$2:A21,A21)&gt;1,"Duplicate","OK")</f>
        <v>OK</v>
      </c>
      <c r="J21" s="16" t="str">
        <f aca="false">IF(ISNUMBER(Raw_Data!B21),"","Text date fixed")</f>
        <v/>
      </c>
      <c r="K21" s="16" t="str">
        <f aca="false">IF(Raw_Data!G21="",IF(F21="Resolved","Missing hours",""),IF(Raw_Data!G21&gt;Brief!$C$17,"Outlier removed",""))</f>
        <v/>
      </c>
      <c r="L21" s="16" t="n">
        <f aca="false">IF(I21="OK",1,0)</f>
        <v>1</v>
      </c>
    </row>
    <row r="22" customFormat="false" ht="15" hidden="false" customHeight="false" outlineLevel="0" collapsed="false">
      <c r="A22" s="16" t="str">
        <f aca="false">TRIM(Raw_Data!A22)</f>
        <v>TKT-1021</v>
      </c>
      <c r="B22" s="17" t="n">
        <f aca="false">IF(ISNUMBER(Raw_Data!B22),Raw_Data!B22,DATEVALUE(TRIM(Raw_Data!B22)))</f>
        <v>46268</v>
      </c>
      <c r="C22" s="16" t="str">
        <f aca="false">PROPER(TRIM(Raw_Data!C22))</f>
        <v>Noah Kim</v>
      </c>
      <c r="D22" s="16" t="str">
        <f aca="false">PROPER(TRIM(Raw_Data!D22))</f>
        <v>Billing</v>
      </c>
      <c r="E22" s="16" t="str">
        <f aca="false">PROPER(TRIM(Raw_Data!E22))</f>
        <v>Urgent</v>
      </c>
      <c r="F22" s="16" t="str">
        <f aca="false">PROPER(TRIM(Raw_Data!F22))</f>
        <v>Resolved</v>
      </c>
      <c r="G22" s="18" t="n">
        <f aca="false">IF(Raw_Data!G22="","",IF(Raw_Data!G22&gt;Brief!$C$17,"",Raw_Data!G22))</f>
        <v>1.7</v>
      </c>
      <c r="H22" s="16" t="n">
        <f aca="false">IF(Raw_Data!H22="","",Raw_Data!H22)</f>
        <v>5</v>
      </c>
      <c r="I22" s="16" t="str">
        <f aca="false">IF(COUNTIF($A$2:A22,A22)&gt;1,"Duplicate","OK")</f>
        <v>OK</v>
      </c>
      <c r="J22" s="16" t="str">
        <f aca="false">IF(ISNUMBER(Raw_Data!B22),"","Text date fixed")</f>
        <v/>
      </c>
      <c r="K22" s="16" t="str">
        <f aca="false">IF(Raw_Data!G22="",IF(F22="Resolved","Missing hours",""),IF(Raw_Data!G22&gt;Brief!$C$17,"Outlier removed",""))</f>
        <v/>
      </c>
      <c r="L22" s="16" t="n">
        <f aca="false">IF(I22="OK",1,0)</f>
        <v>1</v>
      </c>
    </row>
    <row r="23" customFormat="false" ht="15" hidden="false" customHeight="false" outlineLevel="0" collapsed="false">
      <c r="A23" s="16" t="str">
        <f aca="false">TRIM(Raw_Data!A23)</f>
        <v>TKT-1022</v>
      </c>
      <c r="B23" s="17" t="n">
        <f aca="false">IF(ISNUMBER(Raw_Data!B23),Raw_Data!B23,DATEVALUE(TRIM(Raw_Data!B23)))</f>
        <v>46268</v>
      </c>
      <c r="C23" s="16" t="str">
        <f aca="false">PROPER(TRIM(Raw_Data!C23))</f>
        <v>Ava Johnson</v>
      </c>
      <c r="D23" s="16" t="str">
        <f aca="false">PROPER(TRIM(Raw_Data!D23))</f>
        <v>Login Issue</v>
      </c>
      <c r="E23" s="16" t="str">
        <f aca="false">PROPER(TRIM(Raw_Data!E23))</f>
        <v>Medium</v>
      </c>
      <c r="F23" s="16" t="str">
        <f aca="false">PROPER(TRIM(Raw_Data!F23))</f>
        <v>Resolved</v>
      </c>
      <c r="G23" s="18" t="n">
        <f aca="false">IF(Raw_Data!G23="","",IF(Raw_Data!G23&gt;Brief!$C$17,"",Raw_Data!G23))</f>
        <v>6</v>
      </c>
      <c r="H23" s="16" t="n">
        <f aca="false">IF(Raw_Data!H23="","",Raw_Data!H23)</f>
        <v>4</v>
      </c>
      <c r="I23" s="16" t="str">
        <f aca="false">IF(COUNTIF($A$2:A23,A23)&gt;1,"Duplicate","OK")</f>
        <v>OK</v>
      </c>
      <c r="J23" s="16" t="str">
        <f aca="false">IF(ISNUMBER(Raw_Data!B23),"","Text date fixed")</f>
        <v/>
      </c>
      <c r="K23" s="16" t="str">
        <f aca="false">IF(Raw_Data!G23="",IF(F23="Resolved","Missing hours",""),IF(Raw_Data!G23&gt;Brief!$C$17,"Outlier removed",""))</f>
        <v/>
      </c>
      <c r="L23" s="16" t="n">
        <f aca="false">IF(I23="OK",1,0)</f>
        <v>1</v>
      </c>
    </row>
    <row r="24" customFormat="false" ht="15" hidden="false" customHeight="false" outlineLevel="0" collapsed="false">
      <c r="A24" s="16" t="str">
        <f aca="false">TRIM(Raw_Data!A24)</f>
        <v>TKT-1023</v>
      </c>
      <c r="B24" s="17" t="n">
        <f aca="false">IF(ISNUMBER(Raw_Data!B24),Raw_Data!B24,DATEVALUE(TRIM(Raw_Data!B24)))</f>
        <v>46268</v>
      </c>
      <c r="C24" s="16" t="str">
        <f aca="false">PROPER(TRIM(Raw_Data!C24))</f>
        <v>Noah Kim</v>
      </c>
      <c r="D24" s="16" t="str">
        <f aca="false">PROPER(TRIM(Raw_Data!D24))</f>
        <v>Login Issue</v>
      </c>
      <c r="E24" s="16" t="str">
        <f aca="false">PROPER(TRIM(Raw_Data!E24))</f>
        <v>Low</v>
      </c>
      <c r="F24" s="16" t="str">
        <f aca="false">PROPER(TRIM(Raw_Data!F24))</f>
        <v>Resolved</v>
      </c>
      <c r="G24" s="18" t="n">
        <f aca="false">IF(Raw_Data!G24="","",IF(Raw_Data!G24&gt;Brief!$C$17,"",Raw_Data!G24))</f>
        <v>27.4</v>
      </c>
      <c r="H24" s="16" t="n">
        <f aca="false">IF(Raw_Data!H24="","",Raw_Data!H24)</f>
        <v>5</v>
      </c>
      <c r="I24" s="16" t="str">
        <f aca="false">IF(COUNTIF($A$2:A24,A24)&gt;1,"Duplicate","OK")</f>
        <v>OK</v>
      </c>
      <c r="J24" s="16" t="str">
        <f aca="false">IF(ISNUMBER(Raw_Data!B24),"","Text date fixed")</f>
        <v/>
      </c>
      <c r="K24" s="16" t="str">
        <f aca="false">IF(Raw_Data!G24="",IF(F24="Resolved","Missing hours",""),IF(Raw_Data!G24&gt;Brief!$C$17,"Outlier removed",""))</f>
        <v/>
      </c>
      <c r="L24" s="16" t="n">
        <f aca="false">IF(I24="OK",1,0)</f>
        <v>1</v>
      </c>
    </row>
    <row r="25" customFormat="false" ht="15" hidden="false" customHeight="false" outlineLevel="0" collapsed="false">
      <c r="A25" s="16" t="str">
        <f aca="false">TRIM(Raw_Data!A25)</f>
        <v>TKT-1024</v>
      </c>
      <c r="B25" s="17" t="n">
        <f aca="false">IF(ISNUMBER(Raw_Data!B25),Raw_Data!B25,DATEVALUE(TRIM(Raw_Data!B25)))</f>
        <v>46268</v>
      </c>
      <c r="C25" s="16" t="str">
        <f aca="false">PROPER(TRIM(Raw_Data!C25))</f>
        <v>Maya Patel</v>
      </c>
      <c r="D25" s="16" t="str">
        <f aca="false">PROPER(TRIM(Raw_Data!D25))</f>
        <v>Billing</v>
      </c>
      <c r="E25" s="16" t="str">
        <f aca="false">PROPER(TRIM(Raw_Data!E25))</f>
        <v>Low</v>
      </c>
      <c r="F25" s="16" t="str">
        <f aca="false">PROPER(TRIM(Raw_Data!F25))</f>
        <v>Open</v>
      </c>
      <c r="G25" s="18" t="str">
        <f aca="false">IF(Raw_Data!G25="","",IF(Raw_Data!G25&gt;Brief!$C$17,"",Raw_Data!G25))</f>
        <v/>
      </c>
      <c r="H25" s="16" t="str">
        <f aca="false">IF(Raw_Data!H25="","",Raw_Data!H25)</f>
        <v/>
      </c>
      <c r="I25" s="16" t="str">
        <f aca="false">IF(COUNTIF($A$2:A25,A25)&gt;1,"Duplicate","OK")</f>
        <v>OK</v>
      </c>
      <c r="J25" s="16" t="str">
        <f aca="false">IF(ISNUMBER(Raw_Data!B25),"","Text date fixed")</f>
        <v/>
      </c>
      <c r="K25" s="16" t="str">
        <f aca="false">IF(Raw_Data!G25="",IF(F25="Resolved","Missing hours",""),IF(Raw_Data!G25&gt;Brief!$C$17,"Outlier removed",""))</f>
        <v/>
      </c>
      <c r="L25" s="16" t="n">
        <f aca="false">IF(I25="OK",1,0)</f>
        <v>1</v>
      </c>
    </row>
    <row r="26" customFormat="false" ht="15" hidden="false" customHeight="false" outlineLevel="0" collapsed="false">
      <c r="A26" s="16" t="str">
        <f aca="false">TRIM(Raw_Data!A26)</f>
        <v>TKT-1025</v>
      </c>
      <c r="B26" s="17" t="n">
        <f aca="false">IF(ISNUMBER(Raw_Data!B26),Raw_Data!B26,DATEVALUE(TRIM(Raw_Data!B26)))</f>
        <v>46268</v>
      </c>
      <c r="C26" s="16" t="str">
        <f aca="false">PROPER(TRIM(Raw_Data!C26))</f>
        <v>Liam O'Brien</v>
      </c>
      <c r="D26" s="16" t="str">
        <f aca="false">PROPER(TRIM(Raw_Data!D26))</f>
        <v>Billing</v>
      </c>
      <c r="E26" s="16" t="str">
        <f aca="false">PROPER(TRIM(Raw_Data!E26))</f>
        <v>Low</v>
      </c>
      <c r="F26" s="16" t="str">
        <f aca="false">PROPER(TRIM(Raw_Data!F26))</f>
        <v>Resolved</v>
      </c>
      <c r="G26" s="18" t="str">
        <f aca="false">IF(Raw_Data!G26="","",IF(Raw_Data!G26&gt;Brief!$C$17,"",Raw_Data!G26))</f>
        <v/>
      </c>
      <c r="H26" s="16" t="n">
        <f aca="false">IF(Raw_Data!H26="","",Raw_Data!H26)</f>
        <v>5</v>
      </c>
      <c r="I26" s="16" t="str">
        <f aca="false">IF(COUNTIF($A$2:A26,A26)&gt;1,"Duplicate","OK")</f>
        <v>OK</v>
      </c>
      <c r="J26" s="16" t="str">
        <f aca="false">IF(ISNUMBER(Raw_Data!B26),"","Text date fixed")</f>
        <v/>
      </c>
      <c r="K26" s="16" t="str">
        <f aca="false">IF(Raw_Data!G26="",IF(F26="Resolved","Missing hours",""),IF(Raw_Data!G26&gt;Brief!$C$17,"Outlier removed",""))</f>
        <v>Outlier removed</v>
      </c>
      <c r="L26" s="16" t="n">
        <f aca="false">IF(I26="OK",1,0)</f>
        <v>1</v>
      </c>
    </row>
    <row r="27" customFormat="false" ht="15" hidden="false" customHeight="false" outlineLevel="0" collapsed="false">
      <c r="A27" s="16" t="str">
        <f aca="false">TRIM(Raw_Data!A27)</f>
        <v>TKT-1026</v>
      </c>
      <c r="B27" s="17" t="n">
        <f aca="false">IF(ISNUMBER(Raw_Data!B27),Raw_Data!B27,DATEVALUE(TRIM(Raw_Data!B27)))</f>
        <v>46268</v>
      </c>
      <c r="C27" s="16" t="str">
        <f aca="false">PROPER(TRIM(Raw_Data!C27))</f>
        <v>Ava Johnson</v>
      </c>
      <c r="D27" s="16" t="str">
        <f aca="false">PROPER(TRIM(Raw_Data!D27))</f>
        <v>Login Issue</v>
      </c>
      <c r="E27" s="16" t="str">
        <f aca="false">PROPER(TRIM(Raw_Data!E27))</f>
        <v>Medium</v>
      </c>
      <c r="F27" s="16" t="str">
        <f aca="false">PROPER(TRIM(Raw_Data!F27))</f>
        <v>Resolved</v>
      </c>
      <c r="G27" s="18" t="n">
        <f aca="false">IF(Raw_Data!G27="","",IF(Raw_Data!G27&gt;Brief!$C$17,"",Raw_Data!G27))</f>
        <v>14.4</v>
      </c>
      <c r="H27" s="16" t="str">
        <f aca="false">IF(Raw_Data!H27="","",Raw_Data!H27)</f>
        <v/>
      </c>
      <c r="I27" s="16" t="str">
        <f aca="false">IF(COUNTIF($A$2:A27,A27)&gt;1,"Duplicate","OK")</f>
        <v>OK</v>
      </c>
      <c r="J27" s="16" t="str">
        <f aca="false">IF(ISNUMBER(Raw_Data!B27),"","Text date fixed")</f>
        <v/>
      </c>
      <c r="K27" s="16" t="str">
        <f aca="false">IF(Raw_Data!G27="",IF(F27="Resolved","Missing hours",""),IF(Raw_Data!G27&gt;Brief!$C$17,"Outlier removed",""))</f>
        <v/>
      </c>
      <c r="L27" s="16" t="n">
        <f aca="false">IF(I27="OK",1,0)</f>
        <v>1</v>
      </c>
    </row>
    <row r="28" customFormat="false" ht="15" hidden="false" customHeight="false" outlineLevel="0" collapsed="false">
      <c r="A28" s="16" t="str">
        <f aca="false">TRIM(Raw_Data!A28)</f>
        <v>TKT-1027</v>
      </c>
      <c r="B28" s="17" t="n">
        <f aca="false">IF(ISNUMBER(Raw_Data!B28),Raw_Data!B28,DATEVALUE(TRIM(Raw_Data!B28)))</f>
        <v>46268</v>
      </c>
      <c r="C28" s="16" t="str">
        <f aca="false">PROPER(TRIM(Raw_Data!C28))</f>
        <v>Maya Patel</v>
      </c>
      <c r="D28" s="16" t="str">
        <f aca="false">PROPER(TRIM(Raw_Data!D28))</f>
        <v>Delivery</v>
      </c>
      <c r="E28" s="16" t="str">
        <f aca="false">PROPER(TRIM(Raw_Data!E28))</f>
        <v>Low</v>
      </c>
      <c r="F28" s="16" t="str">
        <f aca="false">PROPER(TRIM(Raw_Data!F28))</f>
        <v>Open</v>
      </c>
      <c r="G28" s="18" t="str">
        <f aca="false">IF(Raw_Data!G28="","",IF(Raw_Data!G28&gt;Brief!$C$17,"",Raw_Data!G28))</f>
        <v/>
      </c>
      <c r="H28" s="16" t="str">
        <f aca="false">IF(Raw_Data!H28="","",Raw_Data!H28)</f>
        <v/>
      </c>
      <c r="I28" s="16" t="str">
        <f aca="false">IF(COUNTIF($A$2:A28,A28)&gt;1,"Duplicate","OK")</f>
        <v>OK</v>
      </c>
      <c r="J28" s="16" t="str">
        <f aca="false">IF(ISNUMBER(Raw_Data!B28),"","Text date fixed")</f>
        <v>Text date fixed</v>
      </c>
      <c r="K28" s="16" t="str">
        <f aca="false">IF(Raw_Data!G28="",IF(F28="Resolved","Missing hours",""),IF(Raw_Data!G28&gt;Brief!$C$17,"Outlier removed",""))</f>
        <v/>
      </c>
      <c r="L28" s="16" t="n">
        <f aca="false">IF(I28="OK",1,0)</f>
        <v>1</v>
      </c>
    </row>
    <row r="29" customFormat="false" ht="15" hidden="false" customHeight="false" outlineLevel="0" collapsed="false">
      <c r="A29" s="16" t="str">
        <f aca="false">TRIM(Raw_Data!A29)</f>
        <v>TKT-1028</v>
      </c>
      <c r="B29" s="17" t="n">
        <f aca="false">IF(ISNUMBER(Raw_Data!B29),Raw_Data!B29,DATEVALUE(TRIM(Raw_Data!B29)))</f>
        <v>46268</v>
      </c>
      <c r="C29" s="16" t="str">
        <f aca="false">PROPER(TRIM(Raw_Data!C29))</f>
        <v>Maya Patel</v>
      </c>
      <c r="D29" s="16" t="str">
        <f aca="false">PROPER(TRIM(Raw_Data!D29))</f>
        <v>Billing</v>
      </c>
      <c r="E29" s="16" t="str">
        <f aca="false">PROPER(TRIM(Raw_Data!E29))</f>
        <v>Low</v>
      </c>
      <c r="F29" s="16" t="str">
        <f aca="false">PROPER(TRIM(Raw_Data!F29))</f>
        <v>Resolved</v>
      </c>
      <c r="G29" s="18" t="n">
        <f aca="false">IF(Raw_Data!G29="","",IF(Raw_Data!G29&gt;Brief!$C$17,"",Raw_Data!G29))</f>
        <v>45.6</v>
      </c>
      <c r="H29" s="16" t="n">
        <f aca="false">IF(Raw_Data!H29="","",Raw_Data!H29)</f>
        <v>3</v>
      </c>
      <c r="I29" s="16" t="str">
        <f aca="false">IF(COUNTIF($A$2:A29,A29)&gt;1,"Duplicate","OK")</f>
        <v>OK</v>
      </c>
      <c r="J29" s="16" t="str">
        <f aca="false">IF(ISNUMBER(Raw_Data!B29),"","Text date fixed")</f>
        <v/>
      </c>
      <c r="K29" s="16" t="str">
        <f aca="false">IF(Raw_Data!G29="",IF(F29="Resolved","Missing hours",""),IF(Raw_Data!G29&gt;Brief!$C$17,"Outlier removed",""))</f>
        <v/>
      </c>
      <c r="L29" s="16" t="n">
        <f aca="false">IF(I29="OK",1,0)</f>
        <v>1</v>
      </c>
    </row>
    <row r="30" customFormat="false" ht="15" hidden="false" customHeight="false" outlineLevel="0" collapsed="false">
      <c r="A30" s="16" t="str">
        <f aca="false">TRIM(Raw_Data!A30)</f>
        <v>TKT-1029</v>
      </c>
      <c r="B30" s="17" t="n">
        <f aca="false">IF(ISNUMBER(Raw_Data!B30),Raw_Data!B30,DATEVALUE(TRIM(Raw_Data!B30)))</f>
        <v>46269</v>
      </c>
      <c r="C30" s="16" t="str">
        <f aca="false">PROPER(TRIM(Raw_Data!C30))</f>
        <v>Ava Johnson</v>
      </c>
      <c r="D30" s="16" t="str">
        <f aca="false">PROPER(TRIM(Raw_Data!D30))</f>
        <v>Billing</v>
      </c>
      <c r="E30" s="16" t="str">
        <f aca="false">PROPER(TRIM(Raw_Data!E30))</f>
        <v>Medium</v>
      </c>
      <c r="F30" s="16" t="str">
        <f aca="false">PROPER(TRIM(Raw_Data!F30))</f>
        <v>Resolved</v>
      </c>
      <c r="G30" s="18" t="n">
        <f aca="false">IF(Raw_Data!G30="","",IF(Raw_Data!G30&gt;Brief!$C$17,"",Raw_Data!G30))</f>
        <v>7</v>
      </c>
      <c r="H30" s="16" t="n">
        <f aca="false">IF(Raw_Data!H30="","",Raw_Data!H30)</f>
        <v>5</v>
      </c>
      <c r="I30" s="16" t="str">
        <f aca="false">IF(COUNTIF($A$2:A30,A30)&gt;1,"Duplicate","OK")</f>
        <v>OK</v>
      </c>
      <c r="J30" s="16" t="str">
        <f aca="false">IF(ISNUMBER(Raw_Data!B30),"","Text date fixed")</f>
        <v/>
      </c>
      <c r="K30" s="16" t="str">
        <f aca="false">IF(Raw_Data!G30="",IF(F30="Resolved","Missing hours",""),IF(Raw_Data!G30&gt;Brief!$C$17,"Outlier removed",""))</f>
        <v/>
      </c>
      <c r="L30" s="16" t="n">
        <f aca="false">IF(I30="OK",1,0)</f>
        <v>1</v>
      </c>
    </row>
    <row r="31" customFormat="false" ht="15" hidden="false" customHeight="false" outlineLevel="0" collapsed="false">
      <c r="A31" s="16" t="str">
        <f aca="false">TRIM(Raw_Data!A31)</f>
        <v>TKT-1030</v>
      </c>
      <c r="B31" s="17" t="n">
        <f aca="false">IF(ISNUMBER(Raw_Data!B31),Raw_Data!B31,DATEVALUE(TRIM(Raw_Data!B31)))</f>
        <v>46269</v>
      </c>
      <c r="C31" s="16" t="str">
        <f aca="false">PROPER(TRIM(Raw_Data!C31))</f>
        <v>Sofia Rossi</v>
      </c>
      <c r="D31" s="16" t="str">
        <f aca="false">PROPER(TRIM(Raw_Data!D31))</f>
        <v>Bug Report</v>
      </c>
      <c r="E31" s="16" t="str">
        <f aca="false">PROPER(TRIM(Raw_Data!E31))</f>
        <v>Low</v>
      </c>
      <c r="F31" s="16" t="str">
        <f aca="false">PROPER(TRIM(Raw_Data!F31))</f>
        <v>Resolved</v>
      </c>
      <c r="G31" s="18" t="n">
        <f aca="false">IF(Raw_Data!G31="","",IF(Raw_Data!G31&gt;Brief!$C$17,"",Raw_Data!G31))</f>
        <v>33.7</v>
      </c>
      <c r="H31" s="16" t="n">
        <f aca="false">IF(Raw_Data!H31="","",Raw_Data!H31)</f>
        <v>4</v>
      </c>
      <c r="I31" s="16" t="str">
        <f aca="false">IF(COUNTIF($A$2:A31,A31)&gt;1,"Duplicate","OK")</f>
        <v>OK</v>
      </c>
      <c r="J31" s="16" t="str">
        <f aca="false">IF(ISNUMBER(Raw_Data!B31),"","Text date fixed")</f>
        <v/>
      </c>
      <c r="K31" s="16" t="str">
        <f aca="false">IF(Raw_Data!G31="",IF(F31="Resolved","Missing hours",""),IF(Raw_Data!G31&gt;Brief!$C$17,"Outlier removed",""))</f>
        <v/>
      </c>
      <c r="L31" s="16" t="n">
        <f aca="false">IF(I31="OK",1,0)</f>
        <v>1</v>
      </c>
    </row>
    <row r="32" customFormat="false" ht="15" hidden="false" customHeight="false" outlineLevel="0" collapsed="false">
      <c r="A32" s="16" t="str">
        <f aca="false">TRIM(Raw_Data!A32)</f>
        <v>TKT-1031</v>
      </c>
      <c r="B32" s="17" t="n">
        <f aca="false">IF(ISNUMBER(Raw_Data!B32),Raw_Data!B32,DATEVALUE(TRIM(Raw_Data!B32)))</f>
        <v>46269</v>
      </c>
      <c r="C32" s="16" t="str">
        <f aca="false">PROPER(TRIM(Raw_Data!C32))</f>
        <v>Sofia Rossi</v>
      </c>
      <c r="D32" s="16" t="str">
        <f aca="false">PROPER(TRIM(Raw_Data!D32))</f>
        <v>Billing</v>
      </c>
      <c r="E32" s="16" t="str">
        <f aca="false">PROPER(TRIM(Raw_Data!E32))</f>
        <v>Low</v>
      </c>
      <c r="F32" s="16" t="str">
        <f aca="false">PROPER(TRIM(Raw_Data!F32))</f>
        <v>Resolved</v>
      </c>
      <c r="G32" s="18" t="n">
        <f aca="false">IF(Raw_Data!G32="","",IF(Raw_Data!G32&gt;Brief!$C$17,"",Raw_Data!G32))</f>
        <v>64</v>
      </c>
      <c r="H32" s="16" t="n">
        <f aca="false">IF(Raw_Data!H32="","",Raw_Data!H32)</f>
        <v>2</v>
      </c>
      <c r="I32" s="16" t="str">
        <f aca="false">IF(COUNTIF($A$2:A32,A32)&gt;1,"Duplicate","OK")</f>
        <v>OK</v>
      </c>
      <c r="J32" s="16" t="str">
        <f aca="false">IF(ISNUMBER(Raw_Data!B32),"","Text date fixed")</f>
        <v/>
      </c>
      <c r="K32" s="16" t="str">
        <f aca="false">IF(Raw_Data!G32="",IF(F32="Resolved","Missing hours",""),IF(Raw_Data!G32&gt;Brief!$C$17,"Outlier removed",""))</f>
        <v/>
      </c>
      <c r="L32" s="16" t="n">
        <f aca="false">IF(I32="OK",1,0)</f>
        <v>1</v>
      </c>
    </row>
    <row r="33" customFormat="false" ht="15" hidden="false" customHeight="false" outlineLevel="0" collapsed="false">
      <c r="A33" s="16" t="str">
        <f aca="false">TRIM(Raw_Data!A33)</f>
        <v>TKT-1032</v>
      </c>
      <c r="B33" s="17" t="n">
        <f aca="false">IF(ISNUMBER(Raw_Data!B33),Raw_Data!B33,DATEVALUE(TRIM(Raw_Data!B33)))</f>
        <v>46269</v>
      </c>
      <c r="C33" s="16" t="str">
        <f aca="false">PROPER(TRIM(Raw_Data!C33))</f>
        <v>Noah Kim</v>
      </c>
      <c r="D33" s="16" t="str">
        <f aca="false">PROPER(TRIM(Raw_Data!D33))</f>
        <v>Bug Report</v>
      </c>
      <c r="E33" s="16" t="str">
        <f aca="false">PROPER(TRIM(Raw_Data!E33))</f>
        <v>Medium</v>
      </c>
      <c r="F33" s="16" t="str">
        <f aca="false">PROPER(TRIM(Raw_Data!F33))</f>
        <v>Open</v>
      </c>
      <c r="G33" s="18" t="str">
        <f aca="false">IF(Raw_Data!G33="","",IF(Raw_Data!G33&gt;Brief!$C$17,"",Raw_Data!G33))</f>
        <v/>
      </c>
      <c r="H33" s="16" t="str">
        <f aca="false">IF(Raw_Data!H33="","",Raw_Data!H33)</f>
        <v/>
      </c>
      <c r="I33" s="16" t="str">
        <f aca="false">IF(COUNTIF($A$2:A33,A33)&gt;1,"Duplicate","OK")</f>
        <v>OK</v>
      </c>
      <c r="J33" s="16" t="str">
        <f aca="false">IF(ISNUMBER(Raw_Data!B33),"","Text date fixed")</f>
        <v/>
      </c>
      <c r="K33" s="16" t="str">
        <f aca="false">IF(Raw_Data!G33="",IF(F33="Resolved","Missing hours",""),IF(Raw_Data!G33&gt;Brief!$C$17,"Outlier removed",""))</f>
        <v/>
      </c>
      <c r="L33" s="16" t="n">
        <f aca="false">IF(I33="OK",1,0)</f>
        <v>1</v>
      </c>
    </row>
    <row r="34" customFormat="false" ht="15" hidden="false" customHeight="false" outlineLevel="0" collapsed="false">
      <c r="A34" s="16" t="str">
        <f aca="false">TRIM(Raw_Data!A34)</f>
        <v>TKT-1033</v>
      </c>
      <c r="B34" s="17" t="n">
        <f aca="false">IF(ISNUMBER(Raw_Data!B34),Raw_Data!B34,DATEVALUE(TRIM(Raw_Data!B34)))</f>
        <v>46269</v>
      </c>
      <c r="C34" s="16" t="str">
        <f aca="false">PROPER(TRIM(Raw_Data!C34))</f>
        <v>Ava Johnson</v>
      </c>
      <c r="D34" s="16" t="str">
        <f aca="false">PROPER(TRIM(Raw_Data!D34))</f>
        <v>Login Issue</v>
      </c>
      <c r="E34" s="16" t="str">
        <f aca="false">PROPER(TRIM(Raw_Data!E34))</f>
        <v>Low</v>
      </c>
      <c r="F34" s="16" t="str">
        <f aca="false">PROPER(TRIM(Raw_Data!F34))</f>
        <v>Resolved</v>
      </c>
      <c r="G34" s="18" t="n">
        <f aca="false">IF(Raw_Data!G34="","",IF(Raw_Data!G34&gt;Brief!$C$17,"",Raw_Data!G34))</f>
        <v>19.3</v>
      </c>
      <c r="H34" s="16" t="n">
        <f aca="false">IF(Raw_Data!H34="","",Raw_Data!H34)</f>
        <v>5</v>
      </c>
      <c r="I34" s="16" t="str">
        <f aca="false">IF(COUNTIF($A$2:A34,A34)&gt;1,"Duplicate","OK")</f>
        <v>OK</v>
      </c>
      <c r="J34" s="16" t="str">
        <f aca="false">IF(ISNUMBER(Raw_Data!B34),"","Text date fixed")</f>
        <v/>
      </c>
      <c r="K34" s="16" t="str">
        <f aca="false">IF(Raw_Data!G34="",IF(F34="Resolved","Missing hours",""),IF(Raw_Data!G34&gt;Brief!$C$17,"Outlier removed",""))</f>
        <v/>
      </c>
      <c r="L34" s="16" t="n">
        <f aca="false">IF(I34="OK",1,0)</f>
        <v>1</v>
      </c>
    </row>
    <row r="35" customFormat="false" ht="15" hidden="false" customHeight="false" outlineLevel="0" collapsed="false">
      <c r="A35" s="16" t="str">
        <f aca="false">TRIM(Raw_Data!A35)</f>
        <v>TKT-1034</v>
      </c>
      <c r="B35" s="17" t="n">
        <f aca="false">IF(ISNUMBER(Raw_Data!B35),Raw_Data!B35,DATEVALUE(TRIM(Raw_Data!B35)))</f>
        <v>46269</v>
      </c>
      <c r="C35" s="16" t="str">
        <f aca="false">PROPER(TRIM(Raw_Data!C35))</f>
        <v>Maya Patel</v>
      </c>
      <c r="D35" s="16" t="str">
        <f aca="false">PROPER(TRIM(Raw_Data!D35))</f>
        <v>Delivery</v>
      </c>
      <c r="E35" s="16" t="str">
        <f aca="false">PROPER(TRIM(Raw_Data!E35))</f>
        <v>Low</v>
      </c>
      <c r="F35" s="16" t="str">
        <f aca="false">PROPER(TRIM(Raw_Data!F35))</f>
        <v>Resolved</v>
      </c>
      <c r="G35" s="18" t="n">
        <f aca="false">IF(Raw_Data!G35="","",IF(Raw_Data!G35&gt;Brief!$C$17,"",Raw_Data!G35))</f>
        <v>39</v>
      </c>
      <c r="H35" s="16" t="n">
        <f aca="false">IF(Raw_Data!H35="","",Raw_Data!H35)</f>
        <v>4</v>
      </c>
      <c r="I35" s="16" t="str">
        <f aca="false">IF(COUNTIF($A$2:A35,A35)&gt;1,"Duplicate","OK")</f>
        <v>OK</v>
      </c>
      <c r="J35" s="16" t="str">
        <f aca="false">IF(ISNUMBER(Raw_Data!B35),"","Text date fixed")</f>
        <v/>
      </c>
      <c r="K35" s="16" t="str">
        <f aca="false">IF(Raw_Data!G35="",IF(F35="Resolved","Missing hours",""),IF(Raw_Data!G35&gt;Brief!$C$17,"Outlier removed",""))</f>
        <v/>
      </c>
      <c r="L35" s="16" t="n">
        <f aca="false">IF(I35="OK",1,0)</f>
        <v>1</v>
      </c>
    </row>
    <row r="36" customFormat="false" ht="15" hidden="false" customHeight="false" outlineLevel="0" collapsed="false">
      <c r="A36" s="16" t="str">
        <f aca="false">TRIM(Raw_Data!A36)</f>
        <v>TKT-1035</v>
      </c>
      <c r="B36" s="17" t="n">
        <f aca="false">IF(ISNUMBER(Raw_Data!B36),Raw_Data!B36,DATEVALUE(TRIM(Raw_Data!B36)))</f>
        <v>46269</v>
      </c>
      <c r="C36" s="16" t="str">
        <f aca="false">PROPER(TRIM(Raw_Data!C36))</f>
        <v>Ava Johnson</v>
      </c>
      <c r="D36" s="16" t="str">
        <f aca="false">PROPER(TRIM(Raw_Data!D36))</f>
        <v>Bug Report</v>
      </c>
      <c r="E36" s="16" t="str">
        <f aca="false">PROPER(TRIM(Raw_Data!E36))</f>
        <v>Low</v>
      </c>
      <c r="F36" s="16" t="str">
        <f aca="false">PROPER(TRIM(Raw_Data!F36))</f>
        <v>Resolved</v>
      </c>
      <c r="G36" s="18" t="n">
        <f aca="false">IF(Raw_Data!G36="","",IF(Raw_Data!G36&gt;Brief!$C$17,"",Raw_Data!G36))</f>
        <v>11.1</v>
      </c>
      <c r="H36" s="16" t="n">
        <f aca="false">IF(Raw_Data!H36="","",Raw_Data!H36)</f>
        <v>5</v>
      </c>
      <c r="I36" s="16" t="str">
        <f aca="false">IF(COUNTIF($A$2:A36,A36)&gt;1,"Duplicate","OK")</f>
        <v>OK</v>
      </c>
      <c r="J36" s="16" t="str">
        <f aca="false">IF(ISNUMBER(Raw_Data!B36),"","Text date fixed")</f>
        <v/>
      </c>
      <c r="K36" s="16" t="str">
        <f aca="false">IF(Raw_Data!G36="",IF(F36="Resolved","Missing hours",""),IF(Raw_Data!G36&gt;Brief!$C$17,"Outlier removed",""))</f>
        <v/>
      </c>
      <c r="L36" s="16" t="n">
        <f aca="false">IF(I36="OK",1,0)</f>
        <v>1</v>
      </c>
    </row>
    <row r="37" customFormat="false" ht="15" hidden="false" customHeight="false" outlineLevel="0" collapsed="false">
      <c r="A37" s="16" t="str">
        <f aca="false">TRIM(Raw_Data!A37)</f>
        <v>TKT-1036</v>
      </c>
      <c r="B37" s="17" t="n">
        <f aca="false">IF(ISNUMBER(Raw_Data!B37),Raw_Data!B37,DATEVALUE(TRIM(Raw_Data!B37)))</f>
        <v>46269</v>
      </c>
      <c r="C37" s="16" t="str">
        <f aca="false">PROPER(TRIM(Raw_Data!C37))</f>
        <v>Noah Kim</v>
      </c>
      <c r="D37" s="16" t="str">
        <f aca="false">PROPER(TRIM(Raw_Data!D37))</f>
        <v>Billing</v>
      </c>
      <c r="E37" s="16" t="str">
        <f aca="false">PROPER(TRIM(Raw_Data!E37))</f>
        <v>Medium</v>
      </c>
      <c r="F37" s="16" t="str">
        <f aca="false">PROPER(TRIM(Raw_Data!F37))</f>
        <v>Resolved</v>
      </c>
      <c r="G37" s="18" t="n">
        <f aca="false">IF(Raw_Data!G37="","",IF(Raw_Data!G37&gt;Brief!$C$17,"",Raw_Data!G37))</f>
        <v>27.7</v>
      </c>
      <c r="H37" s="16" t="n">
        <f aca="false">IF(Raw_Data!H37="","",Raw_Data!H37)</f>
        <v>5</v>
      </c>
      <c r="I37" s="16" t="str">
        <f aca="false">IF(COUNTIF($A$2:A37,A37)&gt;1,"Duplicate","OK")</f>
        <v>OK</v>
      </c>
      <c r="J37" s="16" t="str">
        <f aca="false">IF(ISNUMBER(Raw_Data!B37),"","Text date fixed")</f>
        <v/>
      </c>
      <c r="K37" s="16" t="str">
        <f aca="false">IF(Raw_Data!G37="",IF(F37="Resolved","Missing hours",""),IF(Raw_Data!G37&gt;Brief!$C$17,"Outlier removed",""))</f>
        <v/>
      </c>
      <c r="L37" s="16" t="n">
        <f aca="false">IF(I37="OK",1,0)</f>
        <v>1</v>
      </c>
    </row>
    <row r="38" customFormat="false" ht="15" hidden="false" customHeight="false" outlineLevel="0" collapsed="false">
      <c r="A38" s="16" t="str">
        <f aca="false">TRIM(Raw_Data!A38)</f>
        <v>TKT-1037</v>
      </c>
      <c r="B38" s="17" t="n">
        <f aca="false">IF(ISNUMBER(Raw_Data!B38),Raw_Data!B38,DATEVALUE(TRIM(Raw_Data!B38)))</f>
        <v>46269</v>
      </c>
      <c r="C38" s="16" t="str">
        <f aca="false">PROPER(TRIM(Raw_Data!C38))</f>
        <v>Liam O'Brien</v>
      </c>
      <c r="D38" s="16" t="str">
        <f aca="false">PROPER(TRIM(Raw_Data!D38))</f>
        <v>Billing</v>
      </c>
      <c r="E38" s="16" t="str">
        <f aca="false">PROPER(TRIM(Raw_Data!E38))</f>
        <v>Medium</v>
      </c>
      <c r="F38" s="16" t="str">
        <f aca="false">PROPER(TRIM(Raw_Data!F38))</f>
        <v>Resolved</v>
      </c>
      <c r="G38" s="18" t="n">
        <f aca="false">IF(Raw_Data!G38="","",IF(Raw_Data!G38&gt;Brief!$C$17,"",Raw_Data!G38))</f>
        <v>12</v>
      </c>
      <c r="H38" s="16" t="n">
        <f aca="false">IF(Raw_Data!H38="","",Raw_Data!H38)</f>
        <v>5</v>
      </c>
      <c r="I38" s="16" t="str">
        <f aca="false">IF(COUNTIF($A$2:A38,A38)&gt;1,"Duplicate","OK")</f>
        <v>OK</v>
      </c>
      <c r="J38" s="16" t="str">
        <f aca="false">IF(ISNUMBER(Raw_Data!B38),"","Text date fixed")</f>
        <v/>
      </c>
      <c r="K38" s="16" t="str">
        <f aca="false">IF(Raw_Data!G38="",IF(F38="Resolved","Missing hours",""),IF(Raw_Data!G38&gt;Brief!$C$17,"Outlier removed",""))</f>
        <v/>
      </c>
      <c r="L38" s="16" t="n">
        <f aca="false">IF(I38="OK",1,0)</f>
        <v>1</v>
      </c>
    </row>
    <row r="39" customFormat="false" ht="15" hidden="false" customHeight="false" outlineLevel="0" collapsed="false">
      <c r="A39" s="16" t="str">
        <f aca="false">TRIM(Raw_Data!A39)</f>
        <v>TKT-1038</v>
      </c>
      <c r="B39" s="17" t="n">
        <f aca="false">IF(ISNUMBER(Raw_Data!B39),Raw_Data!B39,DATEVALUE(TRIM(Raw_Data!B39)))</f>
        <v>46270</v>
      </c>
      <c r="C39" s="16" t="str">
        <f aca="false">PROPER(TRIM(Raw_Data!C39))</f>
        <v>Maya Patel</v>
      </c>
      <c r="D39" s="16" t="str">
        <f aca="false">PROPER(TRIM(Raw_Data!D39))</f>
        <v>Billing</v>
      </c>
      <c r="E39" s="16" t="str">
        <f aca="false">PROPER(TRIM(Raw_Data!E39))</f>
        <v>High</v>
      </c>
      <c r="F39" s="16" t="str">
        <f aca="false">PROPER(TRIM(Raw_Data!F39))</f>
        <v>Resolved</v>
      </c>
      <c r="G39" s="18" t="n">
        <f aca="false">IF(Raw_Data!G39="","",IF(Raw_Data!G39&gt;Brief!$C$17,"",Raw_Data!G39))</f>
        <v>10.2</v>
      </c>
      <c r="H39" s="16" t="str">
        <f aca="false">IF(Raw_Data!H39="","",Raw_Data!H39)</f>
        <v/>
      </c>
      <c r="I39" s="16" t="str">
        <f aca="false">IF(COUNTIF($A$2:A39,A39)&gt;1,"Duplicate","OK")</f>
        <v>OK</v>
      </c>
      <c r="J39" s="16" t="str">
        <f aca="false">IF(ISNUMBER(Raw_Data!B39),"","Text date fixed")</f>
        <v>Text date fixed</v>
      </c>
      <c r="K39" s="16" t="str">
        <f aca="false">IF(Raw_Data!G39="",IF(F39="Resolved","Missing hours",""),IF(Raw_Data!G39&gt;Brief!$C$17,"Outlier removed",""))</f>
        <v/>
      </c>
      <c r="L39" s="16" t="n">
        <f aca="false">IF(I39="OK",1,0)</f>
        <v>1</v>
      </c>
    </row>
    <row r="40" customFormat="false" ht="15" hidden="false" customHeight="false" outlineLevel="0" collapsed="false">
      <c r="A40" s="16" t="str">
        <f aca="false">TRIM(Raw_Data!A40)</f>
        <v>TKT-1039</v>
      </c>
      <c r="B40" s="17" t="n">
        <f aca="false">IF(ISNUMBER(Raw_Data!B40),Raw_Data!B40,DATEVALUE(TRIM(Raw_Data!B40)))</f>
        <v>46270</v>
      </c>
      <c r="C40" s="16" t="str">
        <f aca="false">PROPER(TRIM(Raw_Data!C40))</f>
        <v>Ava Johnson</v>
      </c>
      <c r="D40" s="16" t="str">
        <f aca="false">PROPER(TRIM(Raw_Data!D40))</f>
        <v>Delivery</v>
      </c>
      <c r="E40" s="16" t="str">
        <f aca="false">PROPER(TRIM(Raw_Data!E40))</f>
        <v>Low</v>
      </c>
      <c r="F40" s="16" t="str">
        <f aca="false">PROPER(TRIM(Raw_Data!F40))</f>
        <v>Open</v>
      </c>
      <c r="G40" s="18" t="str">
        <f aca="false">IF(Raw_Data!G40="","",IF(Raw_Data!G40&gt;Brief!$C$17,"",Raw_Data!G40))</f>
        <v/>
      </c>
      <c r="H40" s="16" t="str">
        <f aca="false">IF(Raw_Data!H40="","",Raw_Data!H40)</f>
        <v/>
      </c>
      <c r="I40" s="16" t="str">
        <f aca="false">IF(COUNTIF($A$2:A40,A40)&gt;1,"Duplicate","OK")</f>
        <v>OK</v>
      </c>
      <c r="J40" s="16" t="str">
        <f aca="false">IF(ISNUMBER(Raw_Data!B40),"","Text date fixed")</f>
        <v>Text date fixed</v>
      </c>
      <c r="K40" s="16" t="str">
        <f aca="false">IF(Raw_Data!G40="",IF(F40="Resolved","Missing hours",""),IF(Raw_Data!G40&gt;Brief!$C$17,"Outlier removed",""))</f>
        <v/>
      </c>
      <c r="L40" s="16" t="n">
        <f aca="false">IF(I40="OK",1,0)</f>
        <v>1</v>
      </c>
    </row>
    <row r="41" customFormat="false" ht="15" hidden="false" customHeight="false" outlineLevel="0" collapsed="false">
      <c r="A41" s="16" t="str">
        <f aca="false">TRIM(Raw_Data!A41)</f>
        <v>TKT-1040</v>
      </c>
      <c r="B41" s="17" t="n">
        <f aca="false">IF(ISNUMBER(Raw_Data!B41),Raw_Data!B41,DATEVALUE(TRIM(Raw_Data!B41)))</f>
        <v>46271</v>
      </c>
      <c r="C41" s="16" t="str">
        <f aca="false">PROPER(TRIM(Raw_Data!C41))</f>
        <v>Ava Johnson</v>
      </c>
      <c r="D41" s="16" t="str">
        <f aca="false">PROPER(TRIM(Raw_Data!D41))</f>
        <v>Login Issue</v>
      </c>
      <c r="E41" s="16" t="str">
        <f aca="false">PROPER(TRIM(Raw_Data!E41))</f>
        <v>Medium</v>
      </c>
      <c r="F41" s="16" t="str">
        <f aca="false">PROPER(TRIM(Raw_Data!F41))</f>
        <v>Escalated</v>
      </c>
      <c r="G41" s="18" t="str">
        <f aca="false">IF(Raw_Data!G41="","",IF(Raw_Data!G41&gt;Brief!$C$17,"",Raw_Data!G41))</f>
        <v/>
      </c>
      <c r="H41" s="16" t="str">
        <f aca="false">IF(Raw_Data!H41="","",Raw_Data!H41)</f>
        <v/>
      </c>
      <c r="I41" s="16" t="str">
        <f aca="false">IF(COUNTIF($A$2:A41,A41)&gt;1,"Duplicate","OK")</f>
        <v>OK</v>
      </c>
      <c r="J41" s="16" t="str">
        <f aca="false">IF(ISNUMBER(Raw_Data!B41),"","Text date fixed")</f>
        <v/>
      </c>
      <c r="K41" s="16" t="str">
        <f aca="false">IF(Raw_Data!G41="",IF(F41="Resolved","Missing hours",""),IF(Raw_Data!G41&gt;Brief!$C$17,"Outlier removed",""))</f>
        <v/>
      </c>
      <c r="L41" s="16" t="n">
        <f aca="false">IF(I41="OK",1,0)</f>
        <v>1</v>
      </c>
    </row>
    <row r="42" customFormat="false" ht="15" hidden="false" customHeight="false" outlineLevel="0" collapsed="false">
      <c r="A42" s="16" t="str">
        <f aca="false">TRIM(Raw_Data!A42)</f>
        <v>TKT-1041</v>
      </c>
      <c r="B42" s="17" t="n">
        <f aca="false">IF(ISNUMBER(Raw_Data!B42),Raw_Data!B42,DATEVALUE(TRIM(Raw_Data!B42)))</f>
        <v>46272</v>
      </c>
      <c r="C42" s="16" t="str">
        <f aca="false">PROPER(TRIM(Raw_Data!C42))</f>
        <v>Liam O'Brien</v>
      </c>
      <c r="D42" s="16" t="str">
        <f aca="false">PROPER(TRIM(Raw_Data!D42))</f>
        <v>Billing</v>
      </c>
      <c r="E42" s="16" t="str">
        <f aca="false">PROPER(TRIM(Raw_Data!E42))</f>
        <v>Medium</v>
      </c>
      <c r="F42" s="16" t="str">
        <f aca="false">PROPER(TRIM(Raw_Data!F42))</f>
        <v>Resolved</v>
      </c>
      <c r="G42" s="18" t="n">
        <f aca="false">IF(Raw_Data!G42="","",IF(Raw_Data!G42&gt;Brief!$C$17,"",Raw_Data!G42))</f>
        <v>31.9</v>
      </c>
      <c r="H42" s="16" t="n">
        <f aca="false">IF(Raw_Data!H42="","",Raw_Data!H42)</f>
        <v>4</v>
      </c>
      <c r="I42" s="16" t="str">
        <f aca="false">IF(COUNTIF($A$2:A42,A42)&gt;1,"Duplicate","OK")</f>
        <v>OK</v>
      </c>
      <c r="J42" s="16" t="str">
        <f aca="false">IF(ISNUMBER(Raw_Data!B42),"","Text date fixed")</f>
        <v/>
      </c>
      <c r="K42" s="16" t="str">
        <f aca="false">IF(Raw_Data!G42="",IF(F42="Resolved","Missing hours",""),IF(Raw_Data!G42&gt;Brief!$C$17,"Outlier removed",""))</f>
        <v/>
      </c>
      <c r="L42" s="16" t="n">
        <f aca="false">IF(I42="OK",1,0)</f>
        <v>1</v>
      </c>
    </row>
    <row r="43" customFormat="false" ht="15" hidden="false" customHeight="false" outlineLevel="0" collapsed="false">
      <c r="A43" s="16" t="str">
        <f aca="false">TRIM(Raw_Data!A43)</f>
        <v>TKT-1042</v>
      </c>
      <c r="B43" s="17" t="n">
        <f aca="false">IF(ISNUMBER(Raw_Data!B43),Raw_Data!B43,DATEVALUE(TRIM(Raw_Data!B43)))</f>
        <v>46272</v>
      </c>
      <c r="C43" s="16" t="str">
        <f aca="false">PROPER(TRIM(Raw_Data!C43))</f>
        <v>Noah Kim</v>
      </c>
      <c r="D43" s="16" t="str">
        <f aca="false">PROPER(TRIM(Raw_Data!D43))</f>
        <v>Delivery</v>
      </c>
      <c r="E43" s="16" t="str">
        <f aca="false">PROPER(TRIM(Raw_Data!E43))</f>
        <v>High</v>
      </c>
      <c r="F43" s="16" t="str">
        <f aca="false">PROPER(TRIM(Raw_Data!F43))</f>
        <v>Resolved</v>
      </c>
      <c r="G43" s="18" t="n">
        <f aca="false">IF(Raw_Data!G43="","",IF(Raw_Data!G43&gt;Brief!$C$17,"",Raw_Data!G43))</f>
        <v>9.4</v>
      </c>
      <c r="H43" s="16" t="n">
        <f aca="false">IF(Raw_Data!H43="","",Raw_Data!H43)</f>
        <v>5</v>
      </c>
      <c r="I43" s="16" t="str">
        <f aca="false">IF(COUNTIF($A$2:A43,A43)&gt;1,"Duplicate","OK")</f>
        <v>OK</v>
      </c>
      <c r="J43" s="16" t="str">
        <f aca="false">IF(ISNUMBER(Raw_Data!B43),"","Text date fixed")</f>
        <v/>
      </c>
      <c r="K43" s="16" t="str">
        <f aca="false">IF(Raw_Data!G43="",IF(F43="Resolved","Missing hours",""),IF(Raw_Data!G43&gt;Brief!$C$17,"Outlier removed",""))</f>
        <v/>
      </c>
      <c r="L43" s="16" t="n">
        <f aca="false">IF(I43="OK",1,0)</f>
        <v>1</v>
      </c>
    </row>
    <row r="44" customFormat="false" ht="15" hidden="false" customHeight="false" outlineLevel="0" collapsed="false">
      <c r="A44" s="16" t="str">
        <f aca="false">TRIM(Raw_Data!A44)</f>
        <v>TKT-1043</v>
      </c>
      <c r="B44" s="17" t="n">
        <f aca="false">IF(ISNUMBER(Raw_Data!B44),Raw_Data!B44,DATEVALUE(TRIM(Raw_Data!B44)))</f>
        <v>46272</v>
      </c>
      <c r="C44" s="16" t="str">
        <f aca="false">PROPER(TRIM(Raw_Data!C44))</f>
        <v>Ava Johnson</v>
      </c>
      <c r="D44" s="16" t="str">
        <f aca="false">PROPER(TRIM(Raw_Data!D44))</f>
        <v>Delivery</v>
      </c>
      <c r="E44" s="16" t="str">
        <f aca="false">PROPER(TRIM(Raw_Data!E44))</f>
        <v>High</v>
      </c>
      <c r="F44" s="16" t="str">
        <f aca="false">PROPER(TRIM(Raw_Data!F44))</f>
        <v>Escalated</v>
      </c>
      <c r="G44" s="18" t="str">
        <f aca="false">IF(Raw_Data!G44="","",IF(Raw_Data!G44&gt;Brief!$C$17,"",Raw_Data!G44))</f>
        <v/>
      </c>
      <c r="H44" s="16" t="str">
        <f aca="false">IF(Raw_Data!H44="","",Raw_Data!H44)</f>
        <v/>
      </c>
      <c r="I44" s="16" t="str">
        <f aca="false">IF(COUNTIF($A$2:A44,A44)&gt;1,"Duplicate","OK")</f>
        <v>OK</v>
      </c>
      <c r="J44" s="16" t="str">
        <f aca="false">IF(ISNUMBER(Raw_Data!B44),"","Text date fixed")</f>
        <v>Text date fixed</v>
      </c>
      <c r="K44" s="16" t="str">
        <f aca="false">IF(Raw_Data!G44="",IF(F44="Resolved","Missing hours",""),IF(Raw_Data!G44&gt;Brief!$C$17,"Outlier removed",""))</f>
        <v/>
      </c>
      <c r="L44" s="16" t="n">
        <f aca="false">IF(I44="OK",1,0)</f>
        <v>1</v>
      </c>
    </row>
    <row r="45" customFormat="false" ht="15" hidden="false" customHeight="false" outlineLevel="0" collapsed="false">
      <c r="A45" s="16" t="str">
        <f aca="false">TRIM(Raw_Data!A45)</f>
        <v>TKT-1044</v>
      </c>
      <c r="B45" s="17" t="n">
        <f aca="false">IF(ISNUMBER(Raw_Data!B45),Raw_Data!B45,DATEVALUE(TRIM(Raw_Data!B45)))</f>
        <v>46273</v>
      </c>
      <c r="C45" s="16" t="str">
        <f aca="false">PROPER(TRIM(Raw_Data!C45))</f>
        <v>Liam O'Brien</v>
      </c>
      <c r="D45" s="16" t="str">
        <f aca="false">PROPER(TRIM(Raw_Data!D45))</f>
        <v>Billing</v>
      </c>
      <c r="E45" s="16" t="str">
        <f aca="false">PROPER(TRIM(Raw_Data!E45))</f>
        <v>Low</v>
      </c>
      <c r="F45" s="16" t="str">
        <f aca="false">PROPER(TRIM(Raw_Data!F45))</f>
        <v>Resolved</v>
      </c>
      <c r="G45" s="18" t="n">
        <f aca="false">IF(Raw_Data!G45="","",IF(Raw_Data!G45&gt;Brief!$C$17,"",Raw_Data!G45))</f>
        <v>33.1</v>
      </c>
      <c r="H45" s="16" t="n">
        <f aca="false">IF(Raw_Data!H45="","",Raw_Data!H45)</f>
        <v>2</v>
      </c>
      <c r="I45" s="16" t="str">
        <f aca="false">IF(COUNTIF($A$2:A45,A45)&gt;1,"Duplicate","OK")</f>
        <v>OK</v>
      </c>
      <c r="J45" s="16" t="str">
        <f aca="false">IF(ISNUMBER(Raw_Data!B45),"","Text date fixed")</f>
        <v/>
      </c>
      <c r="K45" s="16" t="str">
        <f aca="false">IF(Raw_Data!G45="",IF(F45="Resolved","Missing hours",""),IF(Raw_Data!G45&gt;Brief!$C$17,"Outlier removed",""))</f>
        <v/>
      </c>
      <c r="L45" s="16" t="n">
        <f aca="false">IF(I45="OK",1,0)</f>
        <v>1</v>
      </c>
    </row>
    <row r="46" customFormat="false" ht="15" hidden="false" customHeight="false" outlineLevel="0" collapsed="false">
      <c r="A46" s="16" t="str">
        <f aca="false">TRIM(Raw_Data!A46)</f>
        <v>TKT-1045</v>
      </c>
      <c r="B46" s="17" t="n">
        <f aca="false">IF(ISNUMBER(Raw_Data!B46),Raw_Data!B46,DATEVALUE(TRIM(Raw_Data!B46)))</f>
        <v>46273</v>
      </c>
      <c r="C46" s="16" t="str">
        <f aca="false">PROPER(TRIM(Raw_Data!C46))</f>
        <v>Maya Patel</v>
      </c>
      <c r="D46" s="16" t="str">
        <f aca="false">PROPER(TRIM(Raw_Data!D46))</f>
        <v>Bug Report</v>
      </c>
      <c r="E46" s="16" t="str">
        <f aca="false">PROPER(TRIM(Raw_Data!E46))</f>
        <v>Medium</v>
      </c>
      <c r="F46" s="16" t="str">
        <f aca="false">PROPER(TRIM(Raw_Data!F46))</f>
        <v>Resolved</v>
      </c>
      <c r="G46" s="18" t="n">
        <f aca="false">IF(Raw_Data!G46="","",IF(Raw_Data!G46&gt;Brief!$C$17,"",Raw_Data!G46))</f>
        <v>14.9</v>
      </c>
      <c r="H46" s="16" t="n">
        <f aca="false">IF(Raw_Data!H46="","",Raw_Data!H46)</f>
        <v>5</v>
      </c>
      <c r="I46" s="16" t="str">
        <f aca="false">IF(COUNTIF($A$2:A46,A46)&gt;1,"Duplicate","OK")</f>
        <v>OK</v>
      </c>
      <c r="J46" s="16" t="str">
        <f aca="false">IF(ISNUMBER(Raw_Data!B46),"","Text date fixed")</f>
        <v/>
      </c>
      <c r="K46" s="16" t="str">
        <f aca="false">IF(Raw_Data!G46="",IF(F46="Resolved","Missing hours",""),IF(Raw_Data!G46&gt;Brief!$C$17,"Outlier removed",""))</f>
        <v/>
      </c>
      <c r="L46" s="16" t="n">
        <f aca="false">IF(I46="OK",1,0)</f>
        <v>1</v>
      </c>
    </row>
    <row r="47" customFormat="false" ht="15" hidden="false" customHeight="false" outlineLevel="0" collapsed="false">
      <c r="A47" s="16" t="str">
        <f aca="false">TRIM(Raw_Data!A47)</f>
        <v>TKT-1046</v>
      </c>
      <c r="B47" s="17" t="n">
        <f aca="false">IF(ISNUMBER(Raw_Data!B47),Raw_Data!B47,DATEVALUE(TRIM(Raw_Data!B47)))</f>
        <v>46273</v>
      </c>
      <c r="C47" s="16" t="str">
        <f aca="false">PROPER(TRIM(Raw_Data!C47))</f>
        <v>Ava Johnson</v>
      </c>
      <c r="D47" s="16" t="str">
        <f aca="false">PROPER(TRIM(Raw_Data!D47))</f>
        <v>Billing</v>
      </c>
      <c r="E47" s="16" t="str">
        <f aca="false">PROPER(TRIM(Raw_Data!E47))</f>
        <v>Medium</v>
      </c>
      <c r="F47" s="16" t="str">
        <f aca="false">PROPER(TRIM(Raw_Data!F47))</f>
        <v>Resolved</v>
      </c>
      <c r="G47" s="18" t="n">
        <f aca="false">IF(Raw_Data!G47="","",IF(Raw_Data!G47&gt;Brief!$C$17,"",Raw_Data!G47))</f>
        <v>9.3</v>
      </c>
      <c r="H47" s="16" t="n">
        <f aca="false">IF(Raw_Data!H47="","",Raw_Data!H47)</f>
        <v>3</v>
      </c>
      <c r="I47" s="16" t="str">
        <f aca="false">IF(COUNTIF($A$2:A47,A47)&gt;1,"Duplicate","OK")</f>
        <v>OK</v>
      </c>
      <c r="J47" s="16" t="str">
        <f aca="false">IF(ISNUMBER(Raw_Data!B47),"","Text date fixed")</f>
        <v/>
      </c>
      <c r="K47" s="16" t="str">
        <f aca="false">IF(Raw_Data!G47="",IF(F47="Resolved","Missing hours",""),IF(Raw_Data!G47&gt;Brief!$C$17,"Outlier removed",""))</f>
        <v/>
      </c>
      <c r="L47" s="16" t="n">
        <f aca="false">IF(I47="OK",1,0)</f>
        <v>1</v>
      </c>
    </row>
    <row r="48" customFormat="false" ht="15" hidden="false" customHeight="false" outlineLevel="0" collapsed="false">
      <c r="A48" s="16" t="str">
        <f aca="false">TRIM(Raw_Data!A48)</f>
        <v>TKT-1047</v>
      </c>
      <c r="B48" s="17" t="n">
        <f aca="false">IF(ISNUMBER(Raw_Data!B48),Raw_Data!B48,DATEVALUE(TRIM(Raw_Data!B48)))</f>
        <v>46273</v>
      </c>
      <c r="C48" s="16" t="str">
        <f aca="false">PROPER(TRIM(Raw_Data!C48))</f>
        <v>Liam O'Brien</v>
      </c>
      <c r="D48" s="16" t="str">
        <f aca="false">PROPER(TRIM(Raw_Data!D48))</f>
        <v>Delivery</v>
      </c>
      <c r="E48" s="16" t="str">
        <f aca="false">PROPER(TRIM(Raw_Data!E48))</f>
        <v>Low</v>
      </c>
      <c r="F48" s="16" t="str">
        <f aca="false">PROPER(TRIM(Raw_Data!F48))</f>
        <v>Resolved</v>
      </c>
      <c r="G48" s="18" t="n">
        <f aca="false">IF(Raw_Data!G48="","",IF(Raw_Data!G48&gt;Brief!$C$17,"",Raw_Data!G48))</f>
        <v>39.4</v>
      </c>
      <c r="H48" s="16" t="n">
        <f aca="false">IF(Raw_Data!H48="","",Raw_Data!H48)</f>
        <v>3</v>
      </c>
      <c r="I48" s="16" t="str">
        <f aca="false">IF(COUNTIF($A$2:A48,A48)&gt;1,"Duplicate","OK")</f>
        <v>OK</v>
      </c>
      <c r="J48" s="16" t="str">
        <f aca="false">IF(ISNUMBER(Raw_Data!B48),"","Text date fixed")</f>
        <v/>
      </c>
      <c r="K48" s="16" t="str">
        <f aca="false">IF(Raw_Data!G48="",IF(F48="Resolved","Missing hours",""),IF(Raw_Data!G48&gt;Brief!$C$17,"Outlier removed",""))</f>
        <v/>
      </c>
      <c r="L48" s="16" t="n">
        <f aca="false">IF(I48="OK",1,0)</f>
        <v>1</v>
      </c>
    </row>
    <row r="49" customFormat="false" ht="15" hidden="false" customHeight="false" outlineLevel="0" collapsed="false">
      <c r="A49" s="16" t="str">
        <f aca="false">TRIM(Raw_Data!A49)</f>
        <v>TKT-1048</v>
      </c>
      <c r="B49" s="17" t="n">
        <f aca="false">IF(ISNUMBER(Raw_Data!B49),Raw_Data!B49,DATEVALUE(TRIM(Raw_Data!B49)))</f>
        <v>46273</v>
      </c>
      <c r="C49" s="16" t="str">
        <f aca="false">PROPER(TRIM(Raw_Data!C49))</f>
        <v>Maya Patel</v>
      </c>
      <c r="D49" s="16" t="str">
        <f aca="false">PROPER(TRIM(Raw_Data!D49))</f>
        <v>Bug Report</v>
      </c>
      <c r="E49" s="16" t="str">
        <f aca="false">PROPER(TRIM(Raw_Data!E49))</f>
        <v>Medium</v>
      </c>
      <c r="F49" s="16" t="str">
        <f aca="false">PROPER(TRIM(Raw_Data!F49))</f>
        <v>Resolved</v>
      </c>
      <c r="G49" s="18" t="n">
        <f aca="false">IF(Raw_Data!G49="","",IF(Raw_Data!G49&gt;Brief!$C$17,"",Raw_Data!G49))</f>
        <v>10</v>
      </c>
      <c r="H49" s="16" t="n">
        <f aca="false">IF(Raw_Data!H49="","",Raw_Data!H49)</f>
        <v>5</v>
      </c>
      <c r="I49" s="16" t="str">
        <f aca="false">IF(COUNTIF($A$2:A49,A49)&gt;1,"Duplicate","OK")</f>
        <v>OK</v>
      </c>
      <c r="J49" s="16" t="str">
        <f aca="false">IF(ISNUMBER(Raw_Data!B49),"","Text date fixed")</f>
        <v/>
      </c>
      <c r="K49" s="16" t="str">
        <f aca="false">IF(Raw_Data!G49="",IF(F49="Resolved","Missing hours",""),IF(Raw_Data!G49&gt;Brief!$C$17,"Outlier removed",""))</f>
        <v/>
      </c>
      <c r="L49" s="16" t="n">
        <f aca="false">IF(I49="OK",1,0)</f>
        <v>1</v>
      </c>
    </row>
    <row r="50" customFormat="false" ht="15" hidden="false" customHeight="false" outlineLevel="0" collapsed="false">
      <c r="A50" s="16" t="str">
        <f aca="false">TRIM(Raw_Data!A50)</f>
        <v>TKT-1049</v>
      </c>
      <c r="B50" s="17" t="n">
        <f aca="false">IF(ISNUMBER(Raw_Data!B50),Raw_Data!B50,DATEVALUE(TRIM(Raw_Data!B50)))</f>
        <v>46273</v>
      </c>
      <c r="C50" s="16" t="str">
        <f aca="false">PROPER(TRIM(Raw_Data!C50))</f>
        <v>Sofia Rossi</v>
      </c>
      <c r="D50" s="16" t="str">
        <f aca="false">PROPER(TRIM(Raw_Data!D50))</f>
        <v>Bug Report</v>
      </c>
      <c r="E50" s="16" t="str">
        <f aca="false">PROPER(TRIM(Raw_Data!E50))</f>
        <v>Low</v>
      </c>
      <c r="F50" s="16" t="str">
        <f aca="false">PROPER(TRIM(Raw_Data!F50))</f>
        <v>Resolved</v>
      </c>
      <c r="G50" s="18" t="n">
        <f aca="false">IF(Raw_Data!G50="","",IF(Raw_Data!G50&gt;Brief!$C$17,"",Raw_Data!G50))</f>
        <v>17.7</v>
      </c>
      <c r="H50" s="16" t="n">
        <f aca="false">IF(Raw_Data!H50="","",Raw_Data!H50)</f>
        <v>4</v>
      </c>
      <c r="I50" s="16" t="str">
        <f aca="false">IF(COUNTIF($A$2:A50,A50)&gt;1,"Duplicate","OK")</f>
        <v>OK</v>
      </c>
      <c r="J50" s="16" t="str">
        <f aca="false">IF(ISNUMBER(Raw_Data!B50),"","Text date fixed")</f>
        <v>Text date fixed</v>
      </c>
      <c r="K50" s="16" t="str">
        <f aca="false">IF(Raw_Data!G50="",IF(F50="Resolved","Missing hours",""),IF(Raw_Data!G50&gt;Brief!$C$17,"Outlier removed",""))</f>
        <v/>
      </c>
      <c r="L50" s="16" t="n">
        <f aca="false">IF(I50="OK",1,0)</f>
        <v>1</v>
      </c>
    </row>
    <row r="51" customFormat="false" ht="15" hidden="false" customHeight="false" outlineLevel="0" collapsed="false">
      <c r="A51" s="16" t="str">
        <f aca="false">TRIM(Raw_Data!A51)</f>
        <v>TKT-1050</v>
      </c>
      <c r="B51" s="17" t="n">
        <f aca="false">IF(ISNUMBER(Raw_Data!B51),Raw_Data!B51,DATEVALUE(TRIM(Raw_Data!B51)))</f>
        <v>46273</v>
      </c>
      <c r="C51" s="16" t="str">
        <f aca="false">PROPER(TRIM(Raw_Data!C51))</f>
        <v>Ava Johnson</v>
      </c>
      <c r="D51" s="16" t="str">
        <f aca="false">PROPER(TRIM(Raw_Data!D51))</f>
        <v>Billing</v>
      </c>
      <c r="E51" s="16" t="str">
        <f aca="false">PROPER(TRIM(Raw_Data!E51))</f>
        <v>Medium</v>
      </c>
      <c r="F51" s="16" t="str">
        <f aca="false">PROPER(TRIM(Raw_Data!F51))</f>
        <v>Resolved</v>
      </c>
      <c r="G51" s="18" t="n">
        <f aca="false">IF(Raw_Data!G51="","",IF(Raw_Data!G51&gt;Brief!$C$17,"",Raw_Data!G51))</f>
        <v>8.8</v>
      </c>
      <c r="H51" s="16" t="n">
        <f aca="false">IF(Raw_Data!H51="","",Raw_Data!H51)</f>
        <v>5</v>
      </c>
      <c r="I51" s="16" t="str">
        <f aca="false">IF(COUNTIF($A$2:A51,A51)&gt;1,"Duplicate","OK")</f>
        <v>OK</v>
      </c>
      <c r="J51" s="16" t="str">
        <f aca="false">IF(ISNUMBER(Raw_Data!B51),"","Text date fixed")</f>
        <v/>
      </c>
      <c r="K51" s="16" t="str">
        <f aca="false">IF(Raw_Data!G51="",IF(F51="Resolved","Missing hours",""),IF(Raw_Data!G51&gt;Brief!$C$17,"Outlier removed",""))</f>
        <v/>
      </c>
      <c r="L51" s="16" t="n">
        <f aca="false">IF(I51="OK",1,0)</f>
        <v>1</v>
      </c>
    </row>
    <row r="52" customFormat="false" ht="15" hidden="false" customHeight="false" outlineLevel="0" collapsed="false">
      <c r="A52" s="16" t="str">
        <f aca="false">TRIM(Raw_Data!A52)</f>
        <v>TKT-1051</v>
      </c>
      <c r="B52" s="17" t="n">
        <f aca="false">IF(ISNUMBER(Raw_Data!B52),Raw_Data!B52,DATEVALUE(TRIM(Raw_Data!B52)))</f>
        <v>46274</v>
      </c>
      <c r="C52" s="16" t="str">
        <f aca="false">PROPER(TRIM(Raw_Data!C52))</f>
        <v>Sofia Rossi</v>
      </c>
      <c r="D52" s="16" t="str">
        <f aca="false">PROPER(TRIM(Raw_Data!D52))</f>
        <v>Login Issue</v>
      </c>
      <c r="E52" s="16" t="str">
        <f aca="false">PROPER(TRIM(Raw_Data!E52))</f>
        <v>High</v>
      </c>
      <c r="F52" s="16" t="str">
        <f aca="false">PROPER(TRIM(Raw_Data!F52))</f>
        <v>Escalated</v>
      </c>
      <c r="G52" s="18" t="str">
        <f aca="false">IF(Raw_Data!G52="","",IF(Raw_Data!G52&gt;Brief!$C$17,"",Raw_Data!G52))</f>
        <v/>
      </c>
      <c r="H52" s="16" t="str">
        <f aca="false">IF(Raw_Data!H52="","",Raw_Data!H52)</f>
        <v/>
      </c>
      <c r="I52" s="16" t="str">
        <f aca="false">IF(COUNTIF($A$2:A52,A52)&gt;1,"Duplicate","OK")</f>
        <v>OK</v>
      </c>
      <c r="J52" s="16" t="str">
        <f aca="false">IF(ISNUMBER(Raw_Data!B52),"","Text date fixed")</f>
        <v>Text date fixed</v>
      </c>
      <c r="K52" s="16" t="str">
        <f aca="false">IF(Raw_Data!G52="",IF(F52="Resolved","Missing hours",""),IF(Raw_Data!G52&gt;Brief!$C$17,"Outlier removed",""))</f>
        <v/>
      </c>
      <c r="L52" s="16" t="n">
        <f aca="false">IF(I52="OK",1,0)</f>
        <v>1</v>
      </c>
    </row>
    <row r="53" customFormat="false" ht="15" hidden="false" customHeight="false" outlineLevel="0" collapsed="false">
      <c r="A53" s="16" t="str">
        <f aca="false">TRIM(Raw_Data!A53)</f>
        <v>TKT-1052</v>
      </c>
      <c r="B53" s="17" t="n">
        <f aca="false">IF(ISNUMBER(Raw_Data!B53),Raw_Data!B53,DATEVALUE(TRIM(Raw_Data!B53)))</f>
        <v>46274</v>
      </c>
      <c r="C53" s="16" t="str">
        <f aca="false">PROPER(TRIM(Raw_Data!C53))</f>
        <v>Noah Kim</v>
      </c>
      <c r="D53" s="16" t="str">
        <f aca="false">PROPER(TRIM(Raw_Data!D53))</f>
        <v>Feature Request</v>
      </c>
      <c r="E53" s="16" t="str">
        <f aca="false">PROPER(TRIM(Raw_Data!E53))</f>
        <v>Medium</v>
      </c>
      <c r="F53" s="16" t="str">
        <f aca="false">PROPER(TRIM(Raw_Data!F53))</f>
        <v>Open</v>
      </c>
      <c r="G53" s="18" t="str">
        <f aca="false">IF(Raw_Data!G53="","",IF(Raw_Data!G53&gt;Brief!$C$17,"",Raw_Data!G53))</f>
        <v/>
      </c>
      <c r="H53" s="16" t="str">
        <f aca="false">IF(Raw_Data!H53="","",Raw_Data!H53)</f>
        <v/>
      </c>
      <c r="I53" s="16" t="str">
        <f aca="false">IF(COUNTIF($A$2:A53,A53)&gt;1,"Duplicate","OK")</f>
        <v>OK</v>
      </c>
      <c r="J53" s="16" t="str">
        <f aca="false">IF(ISNUMBER(Raw_Data!B53),"","Text date fixed")</f>
        <v/>
      </c>
      <c r="K53" s="16" t="str">
        <f aca="false">IF(Raw_Data!G53="",IF(F53="Resolved","Missing hours",""),IF(Raw_Data!G53&gt;Brief!$C$17,"Outlier removed",""))</f>
        <v/>
      </c>
      <c r="L53" s="16" t="n">
        <f aca="false">IF(I53="OK",1,0)</f>
        <v>1</v>
      </c>
    </row>
    <row r="54" customFormat="false" ht="15" hidden="false" customHeight="false" outlineLevel="0" collapsed="false">
      <c r="A54" s="16" t="str">
        <f aca="false">TRIM(Raw_Data!A54)</f>
        <v>TKT-1053</v>
      </c>
      <c r="B54" s="17" t="n">
        <f aca="false">IF(ISNUMBER(Raw_Data!B54),Raw_Data!B54,DATEVALUE(TRIM(Raw_Data!B54)))</f>
        <v>46274</v>
      </c>
      <c r="C54" s="16" t="str">
        <f aca="false">PROPER(TRIM(Raw_Data!C54))</f>
        <v>Liam O'Brien</v>
      </c>
      <c r="D54" s="16" t="str">
        <f aca="false">PROPER(TRIM(Raw_Data!D54))</f>
        <v>Billing</v>
      </c>
      <c r="E54" s="16" t="str">
        <f aca="false">PROPER(TRIM(Raw_Data!E54))</f>
        <v>Low</v>
      </c>
      <c r="F54" s="16" t="str">
        <f aca="false">PROPER(TRIM(Raw_Data!F54))</f>
        <v>Resolved</v>
      </c>
      <c r="G54" s="18" t="n">
        <f aca="false">IF(Raw_Data!G54="","",IF(Raw_Data!G54&gt;Brief!$C$17,"",Raw_Data!G54))</f>
        <v>12.8</v>
      </c>
      <c r="H54" s="16" t="n">
        <f aca="false">IF(Raw_Data!H54="","",Raw_Data!H54)</f>
        <v>3</v>
      </c>
      <c r="I54" s="16" t="str">
        <f aca="false">IF(COUNTIF($A$2:A54,A54)&gt;1,"Duplicate","OK")</f>
        <v>OK</v>
      </c>
      <c r="J54" s="16" t="str">
        <f aca="false">IF(ISNUMBER(Raw_Data!B54),"","Text date fixed")</f>
        <v/>
      </c>
      <c r="K54" s="16" t="str">
        <f aca="false">IF(Raw_Data!G54="",IF(F54="Resolved","Missing hours",""),IF(Raw_Data!G54&gt;Brief!$C$17,"Outlier removed",""))</f>
        <v/>
      </c>
      <c r="L54" s="16" t="n">
        <f aca="false">IF(I54="OK",1,0)</f>
        <v>1</v>
      </c>
    </row>
    <row r="55" customFormat="false" ht="15" hidden="false" customHeight="false" outlineLevel="0" collapsed="false">
      <c r="A55" s="16" t="str">
        <f aca="false">TRIM(Raw_Data!A55)</f>
        <v>TKT-1054</v>
      </c>
      <c r="B55" s="17" t="n">
        <f aca="false">IF(ISNUMBER(Raw_Data!B55),Raw_Data!B55,DATEVALUE(TRIM(Raw_Data!B55)))</f>
        <v>46274</v>
      </c>
      <c r="C55" s="16" t="str">
        <f aca="false">PROPER(TRIM(Raw_Data!C55))</f>
        <v>Maya Patel</v>
      </c>
      <c r="D55" s="16" t="str">
        <f aca="false">PROPER(TRIM(Raw_Data!D55))</f>
        <v>Bug Report</v>
      </c>
      <c r="E55" s="16" t="str">
        <f aca="false">PROPER(TRIM(Raw_Data!E55))</f>
        <v>Low</v>
      </c>
      <c r="F55" s="16" t="str">
        <f aca="false">PROPER(TRIM(Raw_Data!F55))</f>
        <v>Open</v>
      </c>
      <c r="G55" s="18" t="str">
        <f aca="false">IF(Raw_Data!G55="","",IF(Raw_Data!G55&gt;Brief!$C$17,"",Raw_Data!G55))</f>
        <v/>
      </c>
      <c r="H55" s="16" t="str">
        <f aca="false">IF(Raw_Data!H55="","",Raw_Data!H55)</f>
        <v/>
      </c>
      <c r="I55" s="16" t="str">
        <f aca="false">IF(COUNTIF($A$2:A55,A55)&gt;1,"Duplicate","OK")</f>
        <v>OK</v>
      </c>
      <c r="J55" s="16" t="str">
        <f aca="false">IF(ISNUMBER(Raw_Data!B55),"","Text date fixed")</f>
        <v/>
      </c>
      <c r="K55" s="16" t="str">
        <f aca="false">IF(Raw_Data!G55="",IF(F55="Resolved","Missing hours",""),IF(Raw_Data!G55&gt;Brief!$C$17,"Outlier removed",""))</f>
        <v/>
      </c>
      <c r="L55" s="16" t="n">
        <f aca="false">IF(I55="OK",1,0)</f>
        <v>1</v>
      </c>
    </row>
    <row r="56" customFormat="false" ht="15" hidden="false" customHeight="false" outlineLevel="0" collapsed="false">
      <c r="A56" s="16" t="str">
        <f aca="false">TRIM(Raw_Data!A56)</f>
        <v>TKT-1055</v>
      </c>
      <c r="B56" s="17" t="n">
        <f aca="false">IF(ISNUMBER(Raw_Data!B56),Raw_Data!B56,DATEVALUE(TRIM(Raw_Data!B56)))</f>
        <v>46274</v>
      </c>
      <c r="C56" s="16" t="str">
        <f aca="false">PROPER(TRIM(Raw_Data!C56))</f>
        <v>Noah Kim</v>
      </c>
      <c r="D56" s="16" t="str">
        <f aca="false">PROPER(TRIM(Raw_Data!D56))</f>
        <v>Login Issue</v>
      </c>
      <c r="E56" s="16" t="str">
        <f aca="false">PROPER(TRIM(Raw_Data!E56))</f>
        <v>Low</v>
      </c>
      <c r="F56" s="16" t="str">
        <f aca="false">PROPER(TRIM(Raw_Data!F56))</f>
        <v>Escalated</v>
      </c>
      <c r="G56" s="18" t="str">
        <f aca="false">IF(Raw_Data!G56="","",IF(Raw_Data!G56&gt;Brief!$C$17,"",Raw_Data!G56))</f>
        <v/>
      </c>
      <c r="H56" s="16" t="str">
        <f aca="false">IF(Raw_Data!H56="","",Raw_Data!H56)</f>
        <v/>
      </c>
      <c r="I56" s="16" t="str">
        <f aca="false">IF(COUNTIF($A$2:A56,A56)&gt;1,"Duplicate","OK")</f>
        <v>OK</v>
      </c>
      <c r="J56" s="16" t="str">
        <f aca="false">IF(ISNUMBER(Raw_Data!B56),"","Text date fixed")</f>
        <v/>
      </c>
      <c r="K56" s="16" t="str">
        <f aca="false">IF(Raw_Data!G56="",IF(F56="Resolved","Missing hours",""),IF(Raw_Data!G56&gt;Brief!$C$17,"Outlier removed",""))</f>
        <v/>
      </c>
      <c r="L56" s="16" t="n">
        <f aca="false">IF(I56="OK",1,0)</f>
        <v>1</v>
      </c>
    </row>
    <row r="57" customFormat="false" ht="15" hidden="false" customHeight="false" outlineLevel="0" collapsed="false">
      <c r="A57" s="16" t="str">
        <f aca="false">TRIM(Raw_Data!A57)</f>
        <v>TKT-1056</v>
      </c>
      <c r="B57" s="17" t="n">
        <f aca="false">IF(ISNUMBER(Raw_Data!B57),Raw_Data!B57,DATEVALUE(TRIM(Raw_Data!B57)))</f>
        <v>46274</v>
      </c>
      <c r="C57" s="16" t="str">
        <f aca="false">PROPER(TRIM(Raw_Data!C57))</f>
        <v>Noah Kim</v>
      </c>
      <c r="D57" s="16" t="str">
        <f aca="false">PROPER(TRIM(Raw_Data!D57))</f>
        <v>Login Issue</v>
      </c>
      <c r="E57" s="16" t="str">
        <f aca="false">PROPER(TRIM(Raw_Data!E57))</f>
        <v>High</v>
      </c>
      <c r="F57" s="16" t="str">
        <f aca="false">PROPER(TRIM(Raw_Data!F57))</f>
        <v>Resolved</v>
      </c>
      <c r="G57" s="18" t="n">
        <f aca="false">IF(Raw_Data!G57="","",IF(Raw_Data!G57&gt;Brief!$C$17,"",Raw_Data!G57))</f>
        <v>8</v>
      </c>
      <c r="H57" s="16" t="n">
        <f aca="false">IF(Raw_Data!H57="","",Raw_Data!H57)</f>
        <v>4</v>
      </c>
      <c r="I57" s="16" t="str">
        <f aca="false">IF(COUNTIF($A$2:A57,A57)&gt;1,"Duplicate","OK")</f>
        <v>OK</v>
      </c>
      <c r="J57" s="16" t="str">
        <f aca="false">IF(ISNUMBER(Raw_Data!B57),"","Text date fixed")</f>
        <v/>
      </c>
      <c r="K57" s="16" t="str">
        <f aca="false">IF(Raw_Data!G57="",IF(F57="Resolved","Missing hours",""),IF(Raw_Data!G57&gt;Brief!$C$17,"Outlier removed",""))</f>
        <v/>
      </c>
      <c r="L57" s="16" t="n">
        <f aca="false">IF(I57="OK",1,0)</f>
        <v>1</v>
      </c>
    </row>
    <row r="58" customFormat="false" ht="15" hidden="false" customHeight="false" outlineLevel="0" collapsed="false">
      <c r="A58" s="16" t="str">
        <f aca="false">TRIM(Raw_Data!A58)</f>
        <v>TKT-1057</v>
      </c>
      <c r="B58" s="17" t="n">
        <f aca="false">IF(ISNUMBER(Raw_Data!B58),Raw_Data!B58,DATEVALUE(TRIM(Raw_Data!B58)))</f>
        <v>46275</v>
      </c>
      <c r="C58" s="16" t="str">
        <f aca="false">PROPER(TRIM(Raw_Data!C58))</f>
        <v>Sofia Rossi</v>
      </c>
      <c r="D58" s="16" t="str">
        <f aca="false">PROPER(TRIM(Raw_Data!D58))</f>
        <v>Delivery</v>
      </c>
      <c r="E58" s="16" t="str">
        <f aca="false">PROPER(TRIM(Raw_Data!E58))</f>
        <v>High</v>
      </c>
      <c r="F58" s="16" t="str">
        <f aca="false">PROPER(TRIM(Raw_Data!F58))</f>
        <v>Resolved</v>
      </c>
      <c r="G58" s="18" t="n">
        <f aca="false">IF(Raw_Data!G58="","",IF(Raw_Data!G58&gt;Brief!$C$17,"",Raw_Data!G58))</f>
        <v>18.3</v>
      </c>
      <c r="H58" s="16" t="n">
        <f aca="false">IF(Raw_Data!H58="","",Raw_Data!H58)</f>
        <v>4</v>
      </c>
      <c r="I58" s="16" t="str">
        <f aca="false">IF(COUNTIF($A$2:A58,A58)&gt;1,"Duplicate","OK")</f>
        <v>OK</v>
      </c>
      <c r="J58" s="16" t="str">
        <f aca="false">IF(ISNUMBER(Raw_Data!B58),"","Text date fixed")</f>
        <v/>
      </c>
      <c r="K58" s="16" t="str">
        <f aca="false">IF(Raw_Data!G58="",IF(F58="Resolved","Missing hours",""),IF(Raw_Data!G58&gt;Brief!$C$17,"Outlier removed",""))</f>
        <v/>
      </c>
      <c r="L58" s="16" t="n">
        <f aca="false">IF(I58="OK",1,0)</f>
        <v>1</v>
      </c>
    </row>
    <row r="59" customFormat="false" ht="15" hidden="false" customHeight="false" outlineLevel="0" collapsed="false">
      <c r="A59" s="16" t="str">
        <f aca="false">TRIM(Raw_Data!A59)</f>
        <v>TKT-1058</v>
      </c>
      <c r="B59" s="17" t="n">
        <f aca="false">IF(ISNUMBER(Raw_Data!B59),Raw_Data!B59,DATEVALUE(TRIM(Raw_Data!B59)))</f>
        <v>46275</v>
      </c>
      <c r="C59" s="16" t="str">
        <f aca="false">PROPER(TRIM(Raw_Data!C59))</f>
        <v>Ava Johnson</v>
      </c>
      <c r="D59" s="16" t="str">
        <f aca="false">PROPER(TRIM(Raw_Data!D59))</f>
        <v>Billing</v>
      </c>
      <c r="E59" s="16" t="str">
        <f aca="false">PROPER(TRIM(Raw_Data!E59))</f>
        <v>Urgent</v>
      </c>
      <c r="F59" s="16" t="str">
        <f aca="false">PROPER(TRIM(Raw_Data!F59))</f>
        <v>Resolved</v>
      </c>
      <c r="G59" s="18" t="n">
        <f aca="false">IF(Raw_Data!G59="","",IF(Raw_Data!G59&gt;Brief!$C$17,"",Raw_Data!G59))</f>
        <v>5.3</v>
      </c>
      <c r="H59" s="16" t="str">
        <f aca="false">IF(Raw_Data!H59="","",Raw_Data!H59)</f>
        <v/>
      </c>
      <c r="I59" s="16" t="str">
        <f aca="false">IF(COUNTIF($A$2:A59,A59)&gt;1,"Duplicate","OK")</f>
        <v>OK</v>
      </c>
      <c r="J59" s="16" t="str">
        <f aca="false">IF(ISNUMBER(Raw_Data!B59),"","Text date fixed")</f>
        <v/>
      </c>
      <c r="K59" s="16" t="str">
        <f aca="false">IF(Raw_Data!G59="",IF(F59="Resolved","Missing hours",""),IF(Raw_Data!G59&gt;Brief!$C$17,"Outlier removed",""))</f>
        <v/>
      </c>
      <c r="L59" s="16" t="n">
        <f aca="false">IF(I59="OK",1,0)</f>
        <v>1</v>
      </c>
    </row>
    <row r="60" customFormat="false" ht="15" hidden="false" customHeight="false" outlineLevel="0" collapsed="false">
      <c r="A60" s="16" t="str">
        <f aca="false">TRIM(Raw_Data!A60)</f>
        <v>TKT-1059</v>
      </c>
      <c r="B60" s="17" t="n">
        <f aca="false">IF(ISNUMBER(Raw_Data!B60),Raw_Data!B60,DATEVALUE(TRIM(Raw_Data!B60)))</f>
        <v>46275</v>
      </c>
      <c r="C60" s="16" t="str">
        <f aca="false">PROPER(TRIM(Raw_Data!C60))</f>
        <v>Sofia Rossi</v>
      </c>
      <c r="D60" s="16" t="str">
        <f aca="false">PROPER(TRIM(Raw_Data!D60))</f>
        <v>Bug Report</v>
      </c>
      <c r="E60" s="16" t="str">
        <f aca="false">PROPER(TRIM(Raw_Data!E60))</f>
        <v>Low</v>
      </c>
      <c r="F60" s="16" t="str">
        <f aca="false">PROPER(TRIM(Raw_Data!F60))</f>
        <v>Escalated</v>
      </c>
      <c r="G60" s="18" t="str">
        <f aca="false">IF(Raw_Data!G60="","",IF(Raw_Data!G60&gt;Brief!$C$17,"",Raw_Data!G60))</f>
        <v/>
      </c>
      <c r="H60" s="16" t="str">
        <f aca="false">IF(Raw_Data!H60="","",Raw_Data!H60)</f>
        <v/>
      </c>
      <c r="I60" s="16" t="str">
        <f aca="false">IF(COUNTIF($A$2:A60,A60)&gt;1,"Duplicate","OK")</f>
        <v>OK</v>
      </c>
      <c r="J60" s="16" t="str">
        <f aca="false">IF(ISNUMBER(Raw_Data!B60),"","Text date fixed")</f>
        <v/>
      </c>
      <c r="K60" s="16" t="str">
        <f aca="false">IF(Raw_Data!G60="",IF(F60="Resolved","Missing hours",""),IF(Raw_Data!G60&gt;Brief!$C$17,"Outlier removed",""))</f>
        <v/>
      </c>
      <c r="L60" s="16" t="n">
        <f aca="false">IF(I60="OK",1,0)</f>
        <v>1</v>
      </c>
    </row>
    <row r="61" customFormat="false" ht="15" hidden="false" customHeight="false" outlineLevel="0" collapsed="false">
      <c r="A61" s="16" t="str">
        <f aca="false">TRIM(Raw_Data!A61)</f>
        <v>TKT-1060</v>
      </c>
      <c r="B61" s="17" t="n">
        <f aca="false">IF(ISNUMBER(Raw_Data!B61),Raw_Data!B61,DATEVALUE(TRIM(Raw_Data!B61)))</f>
        <v>46275</v>
      </c>
      <c r="C61" s="16" t="str">
        <f aca="false">PROPER(TRIM(Raw_Data!C61))</f>
        <v>Noah Kim</v>
      </c>
      <c r="D61" s="16" t="str">
        <f aca="false">PROPER(TRIM(Raw_Data!D61))</f>
        <v>Login Issue</v>
      </c>
      <c r="E61" s="16" t="str">
        <f aca="false">PROPER(TRIM(Raw_Data!E61))</f>
        <v>Low</v>
      </c>
      <c r="F61" s="16" t="str">
        <f aca="false">PROPER(TRIM(Raw_Data!F61))</f>
        <v>Resolved</v>
      </c>
      <c r="G61" s="18" t="n">
        <f aca="false">IF(Raw_Data!G61="","",IF(Raw_Data!G61&gt;Brief!$C$17,"",Raw_Data!G61))</f>
        <v>45.4</v>
      </c>
      <c r="H61" s="16" t="n">
        <f aca="false">IF(Raw_Data!H61="","",Raw_Data!H61)</f>
        <v>5</v>
      </c>
      <c r="I61" s="16" t="str">
        <f aca="false">IF(COUNTIF($A$2:A61,A61)&gt;1,"Duplicate","OK")</f>
        <v>OK</v>
      </c>
      <c r="J61" s="16" t="str">
        <f aca="false">IF(ISNUMBER(Raw_Data!B61),"","Text date fixed")</f>
        <v/>
      </c>
      <c r="K61" s="16" t="str">
        <f aca="false">IF(Raw_Data!G61="",IF(F61="Resolved","Missing hours",""),IF(Raw_Data!G61&gt;Brief!$C$17,"Outlier removed",""))</f>
        <v/>
      </c>
      <c r="L61" s="16" t="n">
        <f aca="false">IF(I61="OK",1,0)</f>
        <v>1</v>
      </c>
    </row>
    <row r="62" customFormat="false" ht="15" hidden="false" customHeight="false" outlineLevel="0" collapsed="false">
      <c r="A62" s="16" t="str">
        <f aca="false">TRIM(Raw_Data!A62)</f>
        <v>TKT-1061</v>
      </c>
      <c r="B62" s="17" t="n">
        <f aca="false">IF(ISNUMBER(Raw_Data!B62),Raw_Data!B62,DATEVALUE(TRIM(Raw_Data!B62)))</f>
        <v>46275</v>
      </c>
      <c r="C62" s="16" t="str">
        <f aca="false">PROPER(TRIM(Raw_Data!C62))</f>
        <v>Maya Patel</v>
      </c>
      <c r="D62" s="16" t="str">
        <f aca="false">PROPER(TRIM(Raw_Data!D62))</f>
        <v>Billing</v>
      </c>
      <c r="E62" s="16" t="str">
        <f aca="false">PROPER(TRIM(Raw_Data!E62))</f>
        <v>High</v>
      </c>
      <c r="F62" s="16" t="str">
        <f aca="false">PROPER(TRIM(Raw_Data!F62))</f>
        <v>Resolved</v>
      </c>
      <c r="G62" s="18" t="n">
        <f aca="false">IF(Raw_Data!G62="","",IF(Raw_Data!G62&gt;Brief!$C$17,"",Raw_Data!G62))</f>
        <v>16.6</v>
      </c>
      <c r="H62" s="16" t="n">
        <f aca="false">IF(Raw_Data!H62="","",Raw_Data!H62)</f>
        <v>3</v>
      </c>
      <c r="I62" s="16" t="str">
        <f aca="false">IF(COUNTIF($A$2:A62,A62)&gt;1,"Duplicate","OK")</f>
        <v>OK</v>
      </c>
      <c r="J62" s="16" t="str">
        <f aca="false">IF(ISNUMBER(Raw_Data!B62),"","Text date fixed")</f>
        <v>Text date fixed</v>
      </c>
      <c r="K62" s="16" t="str">
        <f aca="false">IF(Raw_Data!G62="",IF(F62="Resolved","Missing hours",""),IF(Raw_Data!G62&gt;Brief!$C$17,"Outlier removed",""))</f>
        <v/>
      </c>
      <c r="L62" s="16" t="n">
        <f aca="false">IF(I62="OK",1,0)</f>
        <v>1</v>
      </c>
    </row>
    <row r="63" customFormat="false" ht="15" hidden="false" customHeight="false" outlineLevel="0" collapsed="false">
      <c r="A63" s="16" t="str">
        <f aca="false">TRIM(Raw_Data!A63)</f>
        <v>TKT-1062</v>
      </c>
      <c r="B63" s="17" t="n">
        <f aca="false">IF(ISNUMBER(Raw_Data!B63),Raw_Data!B63,DATEVALUE(TRIM(Raw_Data!B63)))</f>
        <v>46275</v>
      </c>
      <c r="C63" s="16" t="str">
        <f aca="false">PROPER(TRIM(Raw_Data!C63))</f>
        <v>Maya Patel</v>
      </c>
      <c r="D63" s="16" t="str">
        <f aca="false">PROPER(TRIM(Raw_Data!D63))</f>
        <v>Feature Request</v>
      </c>
      <c r="E63" s="16" t="str">
        <f aca="false">PROPER(TRIM(Raw_Data!E63))</f>
        <v>Medium</v>
      </c>
      <c r="F63" s="16" t="str">
        <f aca="false">PROPER(TRIM(Raw_Data!F63))</f>
        <v>Resolved</v>
      </c>
      <c r="G63" s="18" t="n">
        <f aca="false">IF(Raw_Data!G63="","",IF(Raw_Data!G63&gt;Brief!$C$17,"",Raw_Data!G63))</f>
        <v>13.5</v>
      </c>
      <c r="H63" s="16" t="n">
        <f aca="false">IF(Raw_Data!H63="","",Raw_Data!H63)</f>
        <v>4</v>
      </c>
      <c r="I63" s="16" t="str">
        <f aca="false">IF(COUNTIF($A$2:A63,A63)&gt;1,"Duplicate","OK")</f>
        <v>OK</v>
      </c>
      <c r="J63" s="16" t="str">
        <f aca="false">IF(ISNUMBER(Raw_Data!B63),"","Text date fixed")</f>
        <v/>
      </c>
      <c r="K63" s="16" t="str">
        <f aca="false">IF(Raw_Data!G63="",IF(F63="Resolved","Missing hours",""),IF(Raw_Data!G63&gt;Brief!$C$17,"Outlier removed",""))</f>
        <v/>
      </c>
      <c r="L63" s="16" t="n">
        <f aca="false">IF(I63="OK",1,0)</f>
        <v>1</v>
      </c>
    </row>
    <row r="64" customFormat="false" ht="15" hidden="false" customHeight="false" outlineLevel="0" collapsed="false">
      <c r="A64" s="16" t="str">
        <f aca="false">TRIM(Raw_Data!A64)</f>
        <v>TKT-1063</v>
      </c>
      <c r="B64" s="17" t="n">
        <f aca="false">IF(ISNUMBER(Raw_Data!B64),Raw_Data!B64,DATEVALUE(TRIM(Raw_Data!B64)))</f>
        <v>46276</v>
      </c>
      <c r="C64" s="16" t="str">
        <f aca="false">PROPER(TRIM(Raw_Data!C64))</f>
        <v>Noah Kim</v>
      </c>
      <c r="D64" s="16" t="str">
        <f aca="false">PROPER(TRIM(Raw_Data!D64))</f>
        <v>Bug Report</v>
      </c>
      <c r="E64" s="16" t="str">
        <f aca="false">PROPER(TRIM(Raw_Data!E64))</f>
        <v>Medium</v>
      </c>
      <c r="F64" s="16" t="str">
        <f aca="false">PROPER(TRIM(Raw_Data!F64))</f>
        <v>Resolved</v>
      </c>
      <c r="G64" s="18" t="n">
        <f aca="false">IF(Raw_Data!G64="","",IF(Raw_Data!G64&gt;Brief!$C$17,"",Raw_Data!G64))</f>
        <v>13.5</v>
      </c>
      <c r="H64" s="16" t="n">
        <f aca="false">IF(Raw_Data!H64="","",Raw_Data!H64)</f>
        <v>5</v>
      </c>
      <c r="I64" s="16" t="str">
        <f aca="false">IF(COUNTIF($A$2:A64,A64)&gt;1,"Duplicate","OK")</f>
        <v>OK</v>
      </c>
      <c r="J64" s="16" t="str">
        <f aca="false">IF(ISNUMBER(Raw_Data!B64),"","Text date fixed")</f>
        <v/>
      </c>
      <c r="K64" s="16" t="str">
        <f aca="false">IF(Raw_Data!G64="",IF(F64="Resolved","Missing hours",""),IF(Raw_Data!G64&gt;Brief!$C$17,"Outlier removed",""))</f>
        <v/>
      </c>
      <c r="L64" s="16" t="n">
        <f aca="false">IF(I64="OK",1,0)</f>
        <v>1</v>
      </c>
    </row>
    <row r="65" customFormat="false" ht="15" hidden="false" customHeight="false" outlineLevel="0" collapsed="false">
      <c r="A65" s="16" t="str">
        <f aca="false">TRIM(Raw_Data!A65)</f>
        <v>TKT-1064</v>
      </c>
      <c r="B65" s="17" t="n">
        <f aca="false">IF(ISNUMBER(Raw_Data!B65),Raw_Data!B65,DATEVALUE(TRIM(Raw_Data!B65)))</f>
        <v>46276</v>
      </c>
      <c r="C65" s="16" t="str">
        <f aca="false">PROPER(TRIM(Raw_Data!C65))</f>
        <v>Liam O'Brien</v>
      </c>
      <c r="D65" s="16" t="str">
        <f aca="false">PROPER(TRIM(Raw_Data!D65))</f>
        <v>Login Issue</v>
      </c>
      <c r="E65" s="16" t="str">
        <f aca="false">PROPER(TRIM(Raw_Data!E65))</f>
        <v>High</v>
      </c>
      <c r="F65" s="16" t="str">
        <f aca="false">PROPER(TRIM(Raw_Data!F65))</f>
        <v>Resolved</v>
      </c>
      <c r="G65" s="18" t="n">
        <f aca="false">IF(Raw_Data!G65="","",IF(Raw_Data!G65&gt;Brief!$C$17,"",Raw_Data!G65))</f>
        <v>6.8</v>
      </c>
      <c r="H65" s="16" t="n">
        <f aca="false">IF(Raw_Data!H65="","",Raw_Data!H65)</f>
        <v>5</v>
      </c>
      <c r="I65" s="16" t="str">
        <f aca="false">IF(COUNTIF($A$2:A65,A65)&gt;1,"Duplicate","OK")</f>
        <v>OK</v>
      </c>
      <c r="J65" s="16" t="str">
        <f aca="false">IF(ISNUMBER(Raw_Data!B65),"","Text date fixed")</f>
        <v/>
      </c>
      <c r="K65" s="16" t="str">
        <f aca="false">IF(Raw_Data!G65="",IF(F65="Resolved","Missing hours",""),IF(Raw_Data!G65&gt;Brief!$C$17,"Outlier removed",""))</f>
        <v/>
      </c>
      <c r="L65" s="16" t="n">
        <f aca="false">IF(I65="OK",1,0)</f>
        <v>1</v>
      </c>
    </row>
    <row r="66" customFormat="false" ht="15" hidden="false" customHeight="false" outlineLevel="0" collapsed="false">
      <c r="A66" s="16" t="str">
        <f aca="false">TRIM(Raw_Data!A66)</f>
        <v>TKT-1065</v>
      </c>
      <c r="B66" s="17" t="n">
        <f aca="false">IF(ISNUMBER(Raw_Data!B66),Raw_Data!B66,DATEVALUE(TRIM(Raw_Data!B66)))</f>
        <v>46276</v>
      </c>
      <c r="C66" s="16" t="str">
        <f aca="false">PROPER(TRIM(Raw_Data!C66))</f>
        <v>Liam O'Brien</v>
      </c>
      <c r="D66" s="16" t="str">
        <f aca="false">PROPER(TRIM(Raw_Data!D66))</f>
        <v>Billing</v>
      </c>
      <c r="E66" s="16" t="str">
        <f aca="false">PROPER(TRIM(Raw_Data!E66))</f>
        <v>Medium</v>
      </c>
      <c r="F66" s="16" t="str">
        <f aca="false">PROPER(TRIM(Raw_Data!F66))</f>
        <v>Resolved</v>
      </c>
      <c r="G66" s="18" t="n">
        <f aca="false">IF(Raw_Data!G66="","",IF(Raw_Data!G66&gt;Brief!$C$17,"",Raw_Data!G66))</f>
        <v>8.9</v>
      </c>
      <c r="H66" s="16" t="n">
        <f aca="false">IF(Raw_Data!H66="","",Raw_Data!H66)</f>
        <v>4</v>
      </c>
      <c r="I66" s="16" t="str">
        <f aca="false">IF(COUNTIF($A$2:A66,A66)&gt;1,"Duplicate","OK")</f>
        <v>OK</v>
      </c>
      <c r="J66" s="16" t="str">
        <f aca="false">IF(ISNUMBER(Raw_Data!B66),"","Text date fixed")</f>
        <v/>
      </c>
      <c r="K66" s="16" t="str">
        <f aca="false">IF(Raw_Data!G66="",IF(F66="Resolved","Missing hours",""),IF(Raw_Data!G66&gt;Brief!$C$17,"Outlier removed",""))</f>
        <v/>
      </c>
      <c r="L66" s="16" t="n">
        <f aca="false">IF(I66="OK",1,0)</f>
        <v>1</v>
      </c>
    </row>
    <row r="67" customFormat="false" ht="15" hidden="false" customHeight="false" outlineLevel="0" collapsed="false">
      <c r="A67" s="16" t="str">
        <f aca="false">TRIM(Raw_Data!A67)</f>
        <v>TKT-1066</v>
      </c>
      <c r="B67" s="17" t="n">
        <f aca="false">IF(ISNUMBER(Raw_Data!B67),Raw_Data!B67,DATEVALUE(TRIM(Raw_Data!B67)))</f>
        <v>46276</v>
      </c>
      <c r="C67" s="16" t="str">
        <f aca="false">PROPER(TRIM(Raw_Data!C67))</f>
        <v>Maya Patel</v>
      </c>
      <c r="D67" s="16" t="str">
        <f aca="false">PROPER(TRIM(Raw_Data!D67))</f>
        <v>Delivery</v>
      </c>
      <c r="E67" s="16" t="str">
        <f aca="false">PROPER(TRIM(Raw_Data!E67))</f>
        <v>Medium</v>
      </c>
      <c r="F67" s="16" t="str">
        <f aca="false">PROPER(TRIM(Raw_Data!F67))</f>
        <v>Resolved</v>
      </c>
      <c r="G67" s="18" t="n">
        <f aca="false">IF(Raw_Data!G67="","",IF(Raw_Data!G67&gt;Brief!$C$17,"",Raw_Data!G67))</f>
        <v>15.5</v>
      </c>
      <c r="H67" s="16" t="n">
        <f aca="false">IF(Raw_Data!H67="","",Raw_Data!H67)</f>
        <v>4</v>
      </c>
      <c r="I67" s="16" t="str">
        <f aca="false">IF(COUNTIF($A$2:A67,A67)&gt;1,"Duplicate","OK")</f>
        <v>OK</v>
      </c>
      <c r="J67" s="16" t="str">
        <f aca="false">IF(ISNUMBER(Raw_Data!B67),"","Text date fixed")</f>
        <v/>
      </c>
      <c r="K67" s="16" t="str">
        <f aca="false">IF(Raw_Data!G67="",IF(F67="Resolved","Missing hours",""),IF(Raw_Data!G67&gt;Brief!$C$17,"Outlier removed",""))</f>
        <v/>
      </c>
      <c r="L67" s="16" t="n">
        <f aca="false">IF(I67="OK",1,0)</f>
        <v>1</v>
      </c>
    </row>
    <row r="68" customFormat="false" ht="15" hidden="false" customHeight="false" outlineLevel="0" collapsed="false">
      <c r="A68" s="16" t="str">
        <f aca="false">TRIM(Raw_Data!A68)</f>
        <v>TKT-1067</v>
      </c>
      <c r="B68" s="17" t="n">
        <f aca="false">IF(ISNUMBER(Raw_Data!B68),Raw_Data!B68,DATEVALUE(TRIM(Raw_Data!B68)))</f>
        <v>46276</v>
      </c>
      <c r="C68" s="16" t="str">
        <f aca="false">PROPER(TRIM(Raw_Data!C68))</f>
        <v>Sofia Rossi</v>
      </c>
      <c r="D68" s="16" t="str">
        <f aca="false">PROPER(TRIM(Raw_Data!D68))</f>
        <v>Billing</v>
      </c>
      <c r="E68" s="16" t="str">
        <f aca="false">PROPER(TRIM(Raw_Data!E68))</f>
        <v>Medium</v>
      </c>
      <c r="F68" s="16" t="str">
        <f aca="false">PROPER(TRIM(Raw_Data!F68))</f>
        <v>Resolved</v>
      </c>
      <c r="G68" s="18" t="n">
        <f aca="false">IF(Raw_Data!G68="","",IF(Raw_Data!G68&gt;Brief!$C$17,"",Raw_Data!G68))</f>
        <v>27.9</v>
      </c>
      <c r="H68" s="16" t="n">
        <f aca="false">IF(Raw_Data!H68="","",Raw_Data!H68)</f>
        <v>4</v>
      </c>
      <c r="I68" s="16" t="str">
        <f aca="false">IF(COUNTIF($A$2:A68,A68)&gt;1,"Duplicate","OK")</f>
        <v>OK</v>
      </c>
      <c r="J68" s="16" t="str">
        <f aca="false">IF(ISNUMBER(Raw_Data!B68),"","Text date fixed")</f>
        <v>Text date fixed</v>
      </c>
      <c r="K68" s="16" t="str">
        <f aca="false">IF(Raw_Data!G68="",IF(F68="Resolved","Missing hours",""),IF(Raw_Data!G68&gt;Brief!$C$17,"Outlier removed",""))</f>
        <v/>
      </c>
      <c r="L68" s="16" t="n">
        <f aca="false">IF(I68="OK",1,0)</f>
        <v>1</v>
      </c>
    </row>
    <row r="69" customFormat="false" ht="15" hidden="false" customHeight="false" outlineLevel="0" collapsed="false">
      <c r="A69" s="16" t="str">
        <f aca="false">TRIM(Raw_Data!A69)</f>
        <v>TKT-1068</v>
      </c>
      <c r="B69" s="17" t="n">
        <f aca="false">IF(ISNUMBER(Raw_Data!B69),Raw_Data!B69,DATEVALUE(TRIM(Raw_Data!B69)))</f>
        <v>46276</v>
      </c>
      <c r="C69" s="16" t="str">
        <f aca="false">PROPER(TRIM(Raw_Data!C69))</f>
        <v>Liam O'Brien</v>
      </c>
      <c r="D69" s="16" t="str">
        <f aca="false">PROPER(TRIM(Raw_Data!D69))</f>
        <v>Login Issue</v>
      </c>
      <c r="E69" s="16" t="str">
        <f aca="false">PROPER(TRIM(Raw_Data!E69))</f>
        <v>Medium</v>
      </c>
      <c r="F69" s="16" t="str">
        <f aca="false">PROPER(TRIM(Raw_Data!F69))</f>
        <v>Resolved</v>
      </c>
      <c r="G69" s="18" t="n">
        <f aca="false">IF(Raw_Data!G69="","",IF(Raw_Data!G69&gt;Brief!$C$17,"",Raw_Data!G69))</f>
        <v>5</v>
      </c>
      <c r="H69" s="16" t="n">
        <f aca="false">IF(Raw_Data!H69="","",Raw_Data!H69)</f>
        <v>5</v>
      </c>
      <c r="I69" s="16" t="str">
        <f aca="false">IF(COUNTIF($A$2:A69,A69)&gt;1,"Duplicate","OK")</f>
        <v>OK</v>
      </c>
      <c r="J69" s="16" t="str">
        <f aca="false">IF(ISNUMBER(Raw_Data!B69),"","Text date fixed")</f>
        <v/>
      </c>
      <c r="K69" s="16" t="str">
        <f aca="false">IF(Raw_Data!G69="",IF(F69="Resolved","Missing hours",""),IF(Raw_Data!G69&gt;Brief!$C$17,"Outlier removed",""))</f>
        <v/>
      </c>
      <c r="L69" s="16" t="n">
        <f aca="false">IF(I69="OK",1,0)</f>
        <v>1</v>
      </c>
    </row>
    <row r="70" customFormat="false" ht="15" hidden="false" customHeight="false" outlineLevel="0" collapsed="false">
      <c r="A70" s="16" t="str">
        <f aca="false">TRIM(Raw_Data!A70)</f>
        <v>TKT-1069</v>
      </c>
      <c r="B70" s="17" t="n">
        <f aca="false">IF(ISNUMBER(Raw_Data!B70),Raw_Data!B70,DATEVALUE(TRIM(Raw_Data!B70)))</f>
        <v>46276</v>
      </c>
      <c r="C70" s="16" t="str">
        <f aca="false">PROPER(TRIM(Raw_Data!C70))</f>
        <v>Noah Kim</v>
      </c>
      <c r="D70" s="16" t="str">
        <f aca="false">PROPER(TRIM(Raw_Data!D70))</f>
        <v>Feature Request</v>
      </c>
      <c r="E70" s="16" t="str">
        <f aca="false">PROPER(TRIM(Raw_Data!E70))</f>
        <v>Medium</v>
      </c>
      <c r="F70" s="16" t="str">
        <f aca="false">PROPER(TRIM(Raw_Data!F70))</f>
        <v>Resolved</v>
      </c>
      <c r="G70" s="18" t="n">
        <f aca="false">IF(Raw_Data!G70="","",IF(Raw_Data!G70&gt;Brief!$C$17,"",Raw_Data!G70))</f>
        <v>15.7</v>
      </c>
      <c r="H70" s="16" t="n">
        <f aca="false">IF(Raw_Data!H70="","",Raw_Data!H70)</f>
        <v>4</v>
      </c>
      <c r="I70" s="16" t="str">
        <f aca="false">IF(COUNTIF($A$2:A70,A70)&gt;1,"Duplicate","OK")</f>
        <v>OK</v>
      </c>
      <c r="J70" s="16" t="str">
        <f aca="false">IF(ISNUMBER(Raw_Data!B70),"","Text date fixed")</f>
        <v/>
      </c>
      <c r="K70" s="16" t="str">
        <f aca="false">IF(Raw_Data!G70="",IF(F70="Resolved","Missing hours",""),IF(Raw_Data!G70&gt;Brief!$C$17,"Outlier removed",""))</f>
        <v/>
      </c>
      <c r="L70" s="16" t="n">
        <f aca="false">IF(I70="OK",1,0)</f>
        <v>1</v>
      </c>
    </row>
    <row r="71" customFormat="false" ht="15" hidden="false" customHeight="false" outlineLevel="0" collapsed="false">
      <c r="A71" s="16" t="str">
        <f aca="false">TRIM(Raw_Data!A71)</f>
        <v>TKT-1070</v>
      </c>
      <c r="B71" s="17" t="n">
        <f aca="false">IF(ISNUMBER(Raw_Data!B71),Raw_Data!B71,DATEVALUE(TRIM(Raw_Data!B71)))</f>
        <v>46276</v>
      </c>
      <c r="C71" s="16" t="str">
        <f aca="false">PROPER(TRIM(Raw_Data!C71))</f>
        <v>Maya Patel</v>
      </c>
      <c r="D71" s="16" t="str">
        <f aca="false">PROPER(TRIM(Raw_Data!D71))</f>
        <v>Billing</v>
      </c>
      <c r="E71" s="16" t="str">
        <f aca="false">PROPER(TRIM(Raw_Data!E71))</f>
        <v>Low</v>
      </c>
      <c r="F71" s="16" t="str">
        <f aca="false">PROPER(TRIM(Raw_Data!F71))</f>
        <v>Escalated</v>
      </c>
      <c r="G71" s="18" t="str">
        <f aca="false">IF(Raw_Data!G71="","",IF(Raw_Data!G71&gt;Brief!$C$17,"",Raw_Data!G71))</f>
        <v/>
      </c>
      <c r="H71" s="16" t="str">
        <f aca="false">IF(Raw_Data!H71="","",Raw_Data!H71)</f>
        <v/>
      </c>
      <c r="I71" s="16" t="str">
        <f aca="false">IF(COUNTIF($A$2:A71,A71)&gt;1,"Duplicate","OK")</f>
        <v>OK</v>
      </c>
      <c r="J71" s="16" t="str">
        <f aca="false">IF(ISNUMBER(Raw_Data!B71),"","Text date fixed")</f>
        <v/>
      </c>
      <c r="K71" s="16" t="str">
        <f aca="false">IF(Raw_Data!G71="",IF(F71="Resolved","Missing hours",""),IF(Raw_Data!G71&gt;Brief!$C$17,"Outlier removed",""))</f>
        <v/>
      </c>
      <c r="L71" s="16" t="n">
        <f aca="false">IF(I71="OK",1,0)</f>
        <v>1</v>
      </c>
    </row>
    <row r="72" customFormat="false" ht="15" hidden="false" customHeight="false" outlineLevel="0" collapsed="false">
      <c r="A72" s="16" t="str">
        <f aca="false">TRIM(Raw_Data!A72)</f>
        <v>TKT-1071</v>
      </c>
      <c r="B72" s="17" t="n">
        <f aca="false">IF(ISNUMBER(Raw_Data!B72),Raw_Data!B72,DATEVALUE(TRIM(Raw_Data!B72)))</f>
        <v>46276</v>
      </c>
      <c r="C72" s="16" t="str">
        <f aca="false">PROPER(TRIM(Raw_Data!C72))</f>
        <v>Maya Patel</v>
      </c>
      <c r="D72" s="16" t="str">
        <f aca="false">PROPER(TRIM(Raw_Data!D72))</f>
        <v>Feature Request</v>
      </c>
      <c r="E72" s="16" t="str">
        <f aca="false">PROPER(TRIM(Raw_Data!E72))</f>
        <v>High</v>
      </c>
      <c r="F72" s="16" t="str">
        <f aca="false">PROPER(TRIM(Raw_Data!F72))</f>
        <v>Resolved</v>
      </c>
      <c r="G72" s="18" t="n">
        <f aca="false">IF(Raw_Data!G72="","",IF(Raw_Data!G72&gt;Brief!$C$17,"",Raw_Data!G72))</f>
        <v>13.7</v>
      </c>
      <c r="H72" s="16" t="n">
        <f aca="false">IF(Raw_Data!H72="","",Raw_Data!H72)</f>
        <v>4</v>
      </c>
      <c r="I72" s="16" t="str">
        <f aca="false">IF(COUNTIF($A$2:A72,A72)&gt;1,"Duplicate","OK")</f>
        <v>OK</v>
      </c>
      <c r="J72" s="16" t="str">
        <f aca="false">IF(ISNUMBER(Raw_Data!B72),"","Text date fixed")</f>
        <v/>
      </c>
      <c r="K72" s="16" t="str">
        <f aca="false">IF(Raw_Data!G72="",IF(F72="Resolved","Missing hours",""),IF(Raw_Data!G72&gt;Brief!$C$17,"Outlier removed",""))</f>
        <v/>
      </c>
      <c r="L72" s="16" t="n">
        <f aca="false">IF(I72="OK",1,0)</f>
        <v>1</v>
      </c>
    </row>
    <row r="73" customFormat="false" ht="15" hidden="false" customHeight="false" outlineLevel="0" collapsed="false">
      <c r="A73" s="16" t="str">
        <f aca="false">TRIM(Raw_Data!A73)</f>
        <v>TKT-1072</v>
      </c>
      <c r="B73" s="17" t="n">
        <f aca="false">IF(ISNUMBER(Raw_Data!B73),Raw_Data!B73,DATEVALUE(TRIM(Raw_Data!B73)))</f>
        <v>46277</v>
      </c>
      <c r="C73" s="16" t="str">
        <f aca="false">PROPER(TRIM(Raw_Data!C73))</f>
        <v>Liam O'Brien</v>
      </c>
      <c r="D73" s="16" t="str">
        <f aca="false">PROPER(TRIM(Raw_Data!D73))</f>
        <v>Bug Report</v>
      </c>
      <c r="E73" s="16" t="str">
        <f aca="false">PROPER(TRIM(Raw_Data!E73))</f>
        <v>Low</v>
      </c>
      <c r="F73" s="16" t="str">
        <f aca="false">PROPER(TRIM(Raw_Data!F73))</f>
        <v>Resolved</v>
      </c>
      <c r="G73" s="18" t="n">
        <f aca="false">IF(Raw_Data!G73="","",IF(Raw_Data!G73&gt;Brief!$C$17,"",Raw_Data!G73))</f>
        <v>18.4</v>
      </c>
      <c r="H73" s="16" t="n">
        <f aca="false">IF(Raw_Data!H73="","",Raw_Data!H73)</f>
        <v>4</v>
      </c>
      <c r="I73" s="16" t="str">
        <f aca="false">IF(COUNTIF($A$2:A73,A73)&gt;1,"Duplicate","OK")</f>
        <v>OK</v>
      </c>
      <c r="J73" s="16" t="str">
        <f aca="false">IF(ISNUMBER(Raw_Data!B73),"","Text date fixed")</f>
        <v/>
      </c>
      <c r="K73" s="16" t="str">
        <f aca="false">IF(Raw_Data!G73="",IF(F73="Resolved","Missing hours",""),IF(Raw_Data!G73&gt;Brief!$C$17,"Outlier removed",""))</f>
        <v/>
      </c>
      <c r="L73" s="16" t="n">
        <f aca="false">IF(I73="OK",1,0)</f>
        <v>1</v>
      </c>
    </row>
    <row r="74" customFormat="false" ht="15" hidden="false" customHeight="false" outlineLevel="0" collapsed="false">
      <c r="A74" s="16" t="str">
        <f aca="false">TRIM(Raw_Data!A74)</f>
        <v>TKT-1073</v>
      </c>
      <c r="B74" s="17" t="n">
        <f aca="false">IF(ISNUMBER(Raw_Data!B74),Raw_Data!B74,DATEVALUE(TRIM(Raw_Data!B74)))</f>
        <v>46277</v>
      </c>
      <c r="C74" s="16" t="str">
        <f aca="false">PROPER(TRIM(Raw_Data!C74))</f>
        <v>Maya Patel</v>
      </c>
      <c r="D74" s="16" t="str">
        <f aca="false">PROPER(TRIM(Raw_Data!D74))</f>
        <v>Billing</v>
      </c>
      <c r="E74" s="16" t="str">
        <f aca="false">PROPER(TRIM(Raw_Data!E74))</f>
        <v>Medium</v>
      </c>
      <c r="F74" s="16" t="str">
        <f aca="false">PROPER(TRIM(Raw_Data!F74))</f>
        <v>Resolved</v>
      </c>
      <c r="G74" s="18" t="n">
        <f aca="false">IF(Raw_Data!G74="","",IF(Raw_Data!G74&gt;Brief!$C$17,"",Raw_Data!G74))</f>
        <v>13.3</v>
      </c>
      <c r="H74" s="16" t="n">
        <f aca="false">IF(Raw_Data!H74="","",Raw_Data!H74)</f>
        <v>4</v>
      </c>
      <c r="I74" s="16" t="str">
        <f aca="false">IF(COUNTIF($A$2:A74,A74)&gt;1,"Duplicate","OK")</f>
        <v>OK</v>
      </c>
      <c r="J74" s="16" t="str">
        <f aca="false">IF(ISNUMBER(Raw_Data!B74),"","Text date fixed")</f>
        <v/>
      </c>
      <c r="K74" s="16" t="str">
        <f aca="false">IF(Raw_Data!G74="",IF(F74="Resolved","Missing hours",""),IF(Raw_Data!G74&gt;Brief!$C$17,"Outlier removed",""))</f>
        <v/>
      </c>
      <c r="L74" s="16" t="n">
        <f aca="false">IF(I74="OK",1,0)</f>
        <v>1</v>
      </c>
    </row>
    <row r="75" customFormat="false" ht="15" hidden="false" customHeight="false" outlineLevel="0" collapsed="false">
      <c r="A75" s="16" t="str">
        <f aca="false">TRIM(Raw_Data!A75)</f>
        <v>TKT-1074</v>
      </c>
      <c r="B75" s="17" t="n">
        <f aca="false">IF(ISNUMBER(Raw_Data!B75),Raw_Data!B75,DATEVALUE(TRIM(Raw_Data!B75)))</f>
        <v>46278</v>
      </c>
      <c r="C75" s="16" t="str">
        <f aca="false">PROPER(TRIM(Raw_Data!C75))</f>
        <v>Noah Kim</v>
      </c>
      <c r="D75" s="16" t="str">
        <f aca="false">PROPER(TRIM(Raw_Data!D75))</f>
        <v>Billing</v>
      </c>
      <c r="E75" s="16" t="str">
        <f aca="false">PROPER(TRIM(Raw_Data!E75))</f>
        <v>Medium</v>
      </c>
      <c r="F75" s="16" t="str">
        <f aca="false">PROPER(TRIM(Raw_Data!F75))</f>
        <v>Open</v>
      </c>
      <c r="G75" s="18" t="str">
        <f aca="false">IF(Raw_Data!G75="","",IF(Raw_Data!G75&gt;Brief!$C$17,"",Raw_Data!G75))</f>
        <v/>
      </c>
      <c r="H75" s="16" t="str">
        <f aca="false">IF(Raw_Data!H75="","",Raw_Data!H75)</f>
        <v/>
      </c>
      <c r="I75" s="16" t="str">
        <f aca="false">IF(COUNTIF($A$2:A75,A75)&gt;1,"Duplicate","OK")</f>
        <v>OK</v>
      </c>
      <c r="J75" s="16" t="str">
        <f aca="false">IF(ISNUMBER(Raw_Data!B75),"","Text date fixed")</f>
        <v/>
      </c>
      <c r="K75" s="16" t="str">
        <f aca="false">IF(Raw_Data!G75="",IF(F75="Resolved","Missing hours",""),IF(Raw_Data!G75&gt;Brief!$C$17,"Outlier removed",""))</f>
        <v/>
      </c>
      <c r="L75" s="16" t="n">
        <f aca="false">IF(I75="OK",1,0)</f>
        <v>1</v>
      </c>
    </row>
    <row r="76" customFormat="false" ht="15" hidden="false" customHeight="false" outlineLevel="0" collapsed="false">
      <c r="A76" s="16" t="str">
        <f aca="false">TRIM(Raw_Data!A76)</f>
        <v>TKT-1075</v>
      </c>
      <c r="B76" s="17" t="n">
        <f aca="false">IF(ISNUMBER(Raw_Data!B76),Raw_Data!B76,DATEVALUE(TRIM(Raw_Data!B76)))</f>
        <v>46279</v>
      </c>
      <c r="C76" s="16" t="str">
        <f aca="false">PROPER(TRIM(Raw_Data!C76))</f>
        <v>Liam O'Brien</v>
      </c>
      <c r="D76" s="16" t="str">
        <f aca="false">PROPER(TRIM(Raw_Data!D76))</f>
        <v>Login Issue</v>
      </c>
      <c r="E76" s="16" t="str">
        <f aca="false">PROPER(TRIM(Raw_Data!E76))</f>
        <v>Low</v>
      </c>
      <c r="F76" s="16" t="str">
        <f aca="false">PROPER(TRIM(Raw_Data!F76))</f>
        <v>Resolved</v>
      </c>
      <c r="G76" s="18" t="n">
        <f aca="false">IF(Raw_Data!G76="","",IF(Raw_Data!G76&gt;Brief!$C$17,"",Raw_Data!G76))</f>
        <v>17.5</v>
      </c>
      <c r="H76" s="16" t="n">
        <f aca="false">IF(Raw_Data!H76="","",Raw_Data!H76)</f>
        <v>4</v>
      </c>
      <c r="I76" s="16" t="str">
        <f aca="false">IF(COUNTIF($A$2:A76,A76)&gt;1,"Duplicate","OK")</f>
        <v>OK</v>
      </c>
      <c r="J76" s="16" t="str">
        <f aca="false">IF(ISNUMBER(Raw_Data!B76),"","Text date fixed")</f>
        <v/>
      </c>
      <c r="K76" s="16" t="str">
        <f aca="false">IF(Raw_Data!G76="",IF(F76="Resolved","Missing hours",""),IF(Raw_Data!G76&gt;Brief!$C$17,"Outlier removed",""))</f>
        <v/>
      </c>
      <c r="L76" s="16" t="n">
        <f aca="false">IF(I76="OK",1,0)</f>
        <v>1</v>
      </c>
    </row>
    <row r="77" customFormat="false" ht="15" hidden="false" customHeight="false" outlineLevel="0" collapsed="false">
      <c r="A77" s="16" t="str">
        <f aca="false">TRIM(Raw_Data!A77)</f>
        <v>TKT-1076</v>
      </c>
      <c r="B77" s="17" t="n">
        <f aca="false">IF(ISNUMBER(Raw_Data!B77),Raw_Data!B77,DATEVALUE(TRIM(Raw_Data!B77)))</f>
        <v>46279</v>
      </c>
      <c r="C77" s="16" t="str">
        <f aca="false">PROPER(TRIM(Raw_Data!C77))</f>
        <v>Sofia Rossi</v>
      </c>
      <c r="D77" s="16" t="str">
        <f aca="false">PROPER(TRIM(Raw_Data!D77))</f>
        <v>Billing</v>
      </c>
      <c r="E77" s="16" t="str">
        <f aca="false">PROPER(TRIM(Raw_Data!E77))</f>
        <v>Medium</v>
      </c>
      <c r="F77" s="16" t="str">
        <f aca="false">PROPER(TRIM(Raw_Data!F77))</f>
        <v>Resolved</v>
      </c>
      <c r="G77" s="18" t="n">
        <f aca="false">IF(Raw_Data!G77="","",IF(Raw_Data!G77&gt;Brief!$C$17,"",Raw_Data!G77))</f>
        <v>18.4</v>
      </c>
      <c r="H77" s="16" t="n">
        <f aca="false">IF(Raw_Data!H77="","",Raw_Data!H77)</f>
        <v>4</v>
      </c>
      <c r="I77" s="16" t="str">
        <f aca="false">IF(COUNTIF($A$2:A77,A77)&gt;1,"Duplicate","OK")</f>
        <v>OK</v>
      </c>
      <c r="J77" s="16" t="str">
        <f aca="false">IF(ISNUMBER(Raw_Data!B77),"","Text date fixed")</f>
        <v/>
      </c>
      <c r="K77" s="16" t="str">
        <f aca="false">IF(Raw_Data!G77="",IF(F77="Resolved","Missing hours",""),IF(Raw_Data!G77&gt;Brief!$C$17,"Outlier removed",""))</f>
        <v/>
      </c>
      <c r="L77" s="16" t="n">
        <f aca="false">IF(I77="OK",1,0)</f>
        <v>1</v>
      </c>
    </row>
    <row r="78" customFormat="false" ht="15" hidden="false" customHeight="false" outlineLevel="0" collapsed="false">
      <c r="A78" s="16" t="str">
        <f aca="false">TRIM(Raw_Data!A78)</f>
        <v>TKT-1077</v>
      </c>
      <c r="B78" s="17" t="n">
        <f aca="false">IF(ISNUMBER(Raw_Data!B78),Raw_Data!B78,DATEVALUE(TRIM(Raw_Data!B78)))</f>
        <v>46279</v>
      </c>
      <c r="C78" s="16" t="str">
        <f aca="false">PROPER(TRIM(Raw_Data!C78))</f>
        <v>Maya Patel</v>
      </c>
      <c r="D78" s="16" t="str">
        <f aca="false">PROPER(TRIM(Raw_Data!D78))</f>
        <v>Delivery</v>
      </c>
      <c r="E78" s="16" t="str">
        <f aca="false">PROPER(TRIM(Raw_Data!E78))</f>
        <v>High</v>
      </c>
      <c r="F78" s="16" t="str">
        <f aca="false">PROPER(TRIM(Raw_Data!F78))</f>
        <v>Resolved</v>
      </c>
      <c r="G78" s="18" t="n">
        <f aca="false">IF(Raw_Data!G78="","",IF(Raw_Data!G78&gt;Brief!$C$17,"",Raw_Data!G78))</f>
        <v>3.7</v>
      </c>
      <c r="H78" s="16" t="n">
        <f aca="false">IF(Raw_Data!H78="","",Raw_Data!H78)</f>
        <v>4</v>
      </c>
      <c r="I78" s="16" t="str">
        <f aca="false">IF(COUNTIF($A$2:A78,A78)&gt;1,"Duplicate","OK")</f>
        <v>OK</v>
      </c>
      <c r="J78" s="16" t="str">
        <f aca="false">IF(ISNUMBER(Raw_Data!B78),"","Text date fixed")</f>
        <v/>
      </c>
      <c r="K78" s="16" t="str">
        <f aca="false">IF(Raw_Data!G78="",IF(F78="Resolved","Missing hours",""),IF(Raw_Data!G78&gt;Brief!$C$17,"Outlier removed",""))</f>
        <v/>
      </c>
      <c r="L78" s="16" t="n">
        <f aca="false">IF(I78="OK",1,0)</f>
        <v>1</v>
      </c>
    </row>
    <row r="79" customFormat="false" ht="15" hidden="false" customHeight="false" outlineLevel="0" collapsed="false">
      <c r="A79" s="16" t="str">
        <f aca="false">TRIM(Raw_Data!A79)</f>
        <v>TKT-1078</v>
      </c>
      <c r="B79" s="17" t="n">
        <f aca="false">IF(ISNUMBER(Raw_Data!B79),Raw_Data!B79,DATEVALUE(TRIM(Raw_Data!B79)))</f>
        <v>46279</v>
      </c>
      <c r="C79" s="16" t="str">
        <f aca="false">PROPER(TRIM(Raw_Data!C79))</f>
        <v>Liam O'Brien</v>
      </c>
      <c r="D79" s="16" t="str">
        <f aca="false">PROPER(TRIM(Raw_Data!D79))</f>
        <v>Billing</v>
      </c>
      <c r="E79" s="16" t="str">
        <f aca="false">PROPER(TRIM(Raw_Data!E79))</f>
        <v>High</v>
      </c>
      <c r="F79" s="16" t="str">
        <f aca="false">PROPER(TRIM(Raw_Data!F79))</f>
        <v>Resolved</v>
      </c>
      <c r="G79" s="18" t="n">
        <f aca="false">IF(Raw_Data!G79="","",IF(Raw_Data!G79&gt;Brief!$C$17,"",Raw_Data!G79))</f>
        <v>9.4</v>
      </c>
      <c r="H79" s="16" t="n">
        <f aca="false">IF(Raw_Data!H79="","",Raw_Data!H79)</f>
        <v>5</v>
      </c>
      <c r="I79" s="16" t="str">
        <f aca="false">IF(COUNTIF($A$2:A79,A79)&gt;1,"Duplicate","OK")</f>
        <v>OK</v>
      </c>
      <c r="J79" s="16" t="str">
        <f aca="false">IF(ISNUMBER(Raw_Data!B79),"","Text date fixed")</f>
        <v/>
      </c>
      <c r="K79" s="16" t="str">
        <f aca="false">IF(Raw_Data!G79="",IF(F79="Resolved","Missing hours",""),IF(Raw_Data!G79&gt;Brief!$C$17,"Outlier removed",""))</f>
        <v/>
      </c>
      <c r="L79" s="16" t="n">
        <f aca="false">IF(I79="OK",1,0)</f>
        <v>1</v>
      </c>
    </row>
    <row r="80" customFormat="false" ht="15" hidden="false" customHeight="false" outlineLevel="0" collapsed="false">
      <c r="A80" s="16" t="str">
        <f aca="false">TRIM(Raw_Data!A80)</f>
        <v>TKT-1079</v>
      </c>
      <c r="B80" s="17" t="n">
        <f aca="false">IF(ISNUMBER(Raw_Data!B80),Raw_Data!B80,DATEVALUE(TRIM(Raw_Data!B80)))</f>
        <v>46279</v>
      </c>
      <c r="C80" s="16" t="str">
        <f aca="false">PROPER(TRIM(Raw_Data!C80))</f>
        <v>Maya Patel</v>
      </c>
      <c r="D80" s="16" t="str">
        <f aca="false">PROPER(TRIM(Raw_Data!D80))</f>
        <v>Feature Request</v>
      </c>
      <c r="E80" s="16" t="str">
        <f aca="false">PROPER(TRIM(Raw_Data!E80))</f>
        <v>Low</v>
      </c>
      <c r="F80" s="16" t="str">
        <f aca="false">PROPER(TRIM(Raw_Data!F80))</f>
        <v>Resolved</v>
      </c>
      <c r="G80" s="18" t="n">
        <f aca="false">IF(Raw_Data!G80="","",IF(Raw_Data!G80&gt;Brief!$C$17,"",Raw_Data!G80))</f>
        <v>11.8</v>
      </c>
      <c r="H80" s="16" t="n">
        <f aca="false">IF(Raw_Data!H80="","",Raw_Data!H80)</f>
        <v>4</v>
      </c>
      <c r="I80" s="16" t="str">
        <f aca="false">IF(COUNTIF($A$2:A80,A80)&gt;1,"Duplicate","OK")</f>
        <v>OK</v>
      </c>
      <c r="J80" s="16" t="str">
        <f aca="false">IF(ISNUMBER(Raw_Data!B80),"","Text date fixed")</f>
        <v/>
      </c>
      <c r="K80" s="16" t="str">
        <f aca="false">IF(Raw_Data!G80="",IF(F80="Resolved","Missing hours",""),IF(Raw_Data!G80&gt;Brief!$C$17,"Outlier removed",""))</f>
        <v/>
      </c>
      <c r="L80" s="16" t="n">
        <f aca="false">IF(I80="OK",1,0)</f>
        <v>1</v>
      </c>
    </row>
    <row r="81" customFormat="false" ht="15" hidden="false" customHeight="false" outlineLevel="0" collapsed="false">
      <c r="A81" s="16" t="str">
        <f aca="false">TRIM(Raw_Data!A81)</f>
        <v>TKT-1080</v>
      </c>
      <c r="B81" s="17" t="n">
        <f aca="false">IF(ISNUMBER(Raw_Data!B81),Raw_Data!B81,DATEVALUE(TRIM(Raw_Data!B81)))</f>
        <v>46279</v>
      </c>
      <c r="C81" s="16" t="str">
        <f aca="false">PROPER(TRIM(Raw_Data!C81))</f>
        <v>Sofia Rossi</v>
      </c>
      <c r="D81" s="16" t="str">
        <f aca="false">PROPER(TRIM(Raw_Data!D81))</f>
        <v>Delivery</v>
      </c>
      <c r="E81" s="16" t="str">
        <f aca="false">PROPER(TRIM(Raw_Data!E81))</f>
        <v>Urgent</v>
      </c>
      <c r="F81" s="16" t="str">
        <f aca="false">PROPER(TRIM(Raw_Data!F81))</f>
        <v>Escalated</v>
      </c>
      <c r="G81" s="18" t="str">
        <f aca="false">IF(Raw_Data!G81="","",IF(Raw_Data!G81&gt;Brief!$C$17,"",Raw_Data!G81))</f>
        <v/>
      </c>
      <c r="H81" s="16" t="str">
        <f aca="false">IF(Raw_Data!H81="","",Raw_Data!H81)</f>
        <v/>
      </c>
      <c r="I81" s="16" t="str">
        <f aca="false">IF(COUNTIF($A$2:A81,A81)&gt;1,"Duplicate","OK")</f>
        <v>OK</v>
      </c>
      <c r="J81" s="16" t="str">
        <f aca="false">IF(ISNUMBER(Raw_Data!B81),"","Text date fixed")</f>
        <v/>
      </c>
      <c r="K81" s="16" t="str">
        <f aca="false">IF(Raw_Data!G81="",IF(F81="Resolved","Missing hours",""),IF(Raw_Data!G81&gt;Brief!$C$17,"Outlier removed",""))</f>
        <v/>
      </c>
      <c r="L81" s="16" t="n">
        <f aca="false">IF(I81="OK",1,0)</f>
        <v>1</v>
      </c>
    </row>
    <row r="82" customFormat="false" ht="15" hidden="false" customHeight="false" outlineLevel="0" collapsed="false">
      <c r="A82" s="16" t="str">
        <f aca="false">TRIM(Raw_Data!A82)</f>
        <v>TKT-1081</v>
      </c>
      <c r="B82" s="17" t="n">
        <f aca="false">IF(ISNUMBER(Raw_Data!B82),Raw_Data!B82,DATEVALUE(TRIM(Raw_Data!B82)))</f>
        <v>46279</v>
      </c>
      <c r="C82" s="16" t="str">
        <f aca="false">PROPER(TRIM(Raw_Data!C82))</f>
        <v>Sofia Rossi</v>
      </c>
      <c r="D82" s="16" t="str">
        <f aca="false">PROPER(TRIM(Raw_Data!D82))</f>
        <v>Billing</v>
      </c>
      <c r="E82" s="16" t="str">
        <f aca="false">PROPER(TRIM(Raw_Data!E82))</f>
        <v>Medium</v>
      </c>
      <c r="F82" s="16" t="str">
        <f aca="false">PROPER(TRIM(Raw_Data!F82))</f>
        <v>Resolved</v>
      </c>
      <c r="G82" s="18" t="n">
        <f aca="false">IF(Raw_Data!G82="","",IF(Raw_Data!G82&gt;Brief!$C$17,"",Raw_Data!G82))</f>
        <v>18</v>
      </c>
      <c r="H82" s="16" t="n">
        <f aca="false">IF(Raw_Data!H82="","",Raw_Data!H82)</f>
        <v>4</v>
      </c>
      <c r="I82" s="16" t="str">
        <f aca="false">IF(COUNTIF($A$2:A82,A82)&gt;1,"Duplicate","OK")</f>
        <v>OK</v>
      </c>
      <c r="J82" s="16" t="str">
        <f aca="false">IF(ISNUMBER(Raw_Data!B82),"","Text date fixed")</f>
        <v/>
      </c>
      <c r="K82" s="16" t="str">
        <f aca="false">IF(Raw_Data!G82="",IF(F82="Resolved","Missing hours",""),IF(Raw_Data!G82&gt;Brief!$C$17,"Outlier removed",""))</f>
        <v/>
      </c>
      <c r="L82" s="16" t="n">
        <f aca="false">IF(I82="OK",1,0)</f>
        <v>1</v>
      </c>
    </row>
    <row r="83" customFormat="false" ht="15" hidden="false" customHeight="false" outlineLevel="0" collapsed="false">
      <c r="A83" s="16" t="str">
        <f aca="false">TRIM(Raw_Data!A83)</f>
        <v>TKT-1082</v>
      </c>
      <c r="B83" s="17" t="n">
        <f aca="false">IF(ISNUMBER(Raw_Data!B83),Raw_Data!B83,DATEVALUE(TRIM(Raw_Data!B83)))</f>
        <v>46279</v>
      </c>
      <c r="C83" s="16" t="str">
        <f aca="false">PROPER(TRIM(Raw_Data!C83))</f>
        <v>Noah Kim</v>
      </c>
      <c r="D83" s="16" t="str">
        <f aca="false">PROPER(TRIM(Raw_Data!D83))</f>
        <v>Billing</v>
      </c>
      <c r="E83" s="16" t="str">
        <f aca="false">PROPER(TRIM(Raw_Data!E83))</f>
        <v>Low</v>
      </c>
      <c r="F83" s="16" t="str">
        <f aca="false">PROPER(TRIM(Raw_Data!F83))</f>
        <v>Resolved</v>
      </c>
      <c r="G83" s="18" t="n">
        <f aca="false">IF(Raw_Data!G83="","",IF(Raw_Data!G83&gt;Brief!$C$17,"",Raw_Data!G83))</f>
        <v>14.9</v>
      </c>
      <c r="H83" s="16" t="n">
        <f aca="false">IF(Raw_Data!H83="","",Raw_Data!H83)</f>
        <v>3</v>
      </c>
      <c r="I83" s="16" t="str">
        <f aca="false">IF(COUNTIF($A$2:A83,A83)&gt;1,"Duplicate","OK")</f>
        <v>OK</v>
      </c>
      <c r="J83" s="16" t="str">
        <f aca="false">IF(ISNUMBER(Raw_Data!B83),"","Text date fixed")</f>
        <v/>
      </c>
      <c r="K83" s="16" t="str">
        <f aca="false">IF(Raw_Data!G83="",IF(F83="Resolved","Missing hours",""),IF(Raw_Data!G83&gt;Brief!$C$17,"Outlier removed",""))</f>
        <v/>
      </c>
      <c r="L83" s="16" t="n">
        <f aca="false">IF(I83="OK",1,0)</f>
        <v>1</v>
      </c>
    </row>
    <row r="84" customFormat="false" ht="15" hidden="false" customHeight="false" outlineLevel="0" collapsed="false">
      <c r="A84" s="16" t="str">
        <f aca="false">TRIM(Raw_Data!A84)</f>
        <v>TKT-1083</v>
      </c>
      <c r="B84" s="17" t="n">
        <f aca="false">IF(ISNUMBER(Raw_Data!B84),Raw_Data!B84,DATEVALUE(TRIM(Raw_Data!B84)))</f>
        <v>46280</v>
      </c>
      <c r="C84" s="16" t="str">
        <f aca="false">PROPER(TRIM(Raw_Data!C84))</f>
        <v>Noah Kim</v>
      </c>
      <c r="D84" s="16" t="str">
        <f aca="false">PROPER(TRIM(Raw_Data!D84))</f>
        <v>Billing</v>
      </c>
      <c r="E84" s="16" t="str">
        <f aca="false">PROPER(TRIM(Raw_Data!E84))</f>
        <v>High</v>
      </c>
      <c r="F84" s="16" t="str">
        <f aca="false">PROPER(TRIM(Raw_Data!F84))</f>
        <v>Resolved</v>
      </c>
      <c r="G84" s="18" t="n">
        <f aca="false">IF(Raw_Data!G84="","",IF(Raw_Data!G84&gt;Brief!$C$17,"",Raw_Data!G84))</f>
        <v>9.6</v>
      </c>
      <c r="H84" s="16" t="n">
        <f aca="false">IF(Raw_Data!H84="","",Raw_Data!H84)</f>
        <v>4</v>
      </c>
      <c r="I84" s="16" t="str">
        <f aca="false">IF(COUNTIF($A$2:A84,A84)&gt;1,"Duplicate","OK")</f>
        <v>OK</v>
      </c>
      <c r="J84" s="16" t="str">
        <f aca="false">IF(ISNUMBER(Raw_Data!B84),"","Text date fixed")</f>
        <v/>
      </c>
      <c r="K84" s="16" t="str">
        <f aca="false">IF(Raw_Data!G84="",IF(F84="Resolved","Missing hours",""),IF(Raw_Data!G84&gt;Brief!$C$17,"Outlier removed",""))</f>
        <v/>
      </c>
      <c r="L84" s="16" t="n">
        <f aca="false">IF(I84="OK",1,0)</f>
        <v>1</v>
      </c>
    </row>
    <row r="85" customFormat="false" ht="15" hidden="false" customHeight="false" outlineLevel="0" collapsed="false">
      <c r="A85" s="16" t="str">
        <f aca="false">TRIM(Raw_Data!A85)</f>
        <v>TKT-1084</v>
      </c>
      <c r="B85" s="17" t="n">
        <f aca="false">IF(ISNUMBER(Raw_Data!B85),Raw_Data!B85,DATEVALUE(TRIM(Raw_Data!B85)))</f>
        <v>46280</v>
      </c>
      <c r="C85" s="16" t="str">
        <f aca="false">PROPER(TRIM(Raw_Data!C85))</f>
        <v>Noah Kim</v>
      </c>
      <c r="D85" s="16" t="str">
        <f aca="false">PROPER(TRIM(Raw_Data!D85))</f>
        <v>Billing</v>
      </c>
      <c r="E85" s="16" t="str">
        <f aca="false">PROPER(TRIM(Raw_Data!E85))</f>
        <v>Medium</v>
      </c>
      <c r="F85" s="16" t="str">
        <f aca="false">PROPER(TRIM(Raw_Data!F85))</f>
        <v>Resolved</v>
      </c>
      <c r="G85" s="18" t="n">
        <f aca="false">IF(Raw_Data!G85="","",IF(Raw_Data!G85&gt;Brief!$C$17,"",Raw_Data!G85))</f>
        <v>12.3</v>
      </c>
      <c r="H85" s="16" t="n">
        <f aca="false">IF(Raw_Data!H85="","",Raw_Data!H85)</f>
        <v>5</v>
      </c>
      <c r="I85" s="16" t="str">
        <f aca="false">IF(COUNTIF($A$2:A85,A85)&gt;1,"Duplicate","OK")</f>
        <v>OK</v>
      </c>
      <c r="J85" s="16" t="str">
        <f aca="false">IF(ISNUMBER(Raw_Data!B85),"","Text date fixed")</f>
        <v>Text date fixed</v>
      </c>
      <c r="K85" s="16" t="str">
        <f aca="false">IF(Raw_Data!G85="",IF(F85="Resolved","Missing hours",""),IF(Raw_Data!G85&gt;Brief!$C$17,"Outlier removed",""))</f>
        <v/>
      </c>
      <c r="L85" s="16" t="n">
        <f aca="false">IF(I85="OK",1,0)</f>
        <v>1</v>
      </c>
    </row>
    <row r="86" customFormat="false" ht="15" hidden="false" customHeight="false" outlineLevel="0" collapsed="false">
      <c r="A86" s="16" t="str">
        <f aca="false">TRIM(Raw_Data!A86)</f>
        <v>TKT-1085</v>
      </c>
      <c r="B86" s="17" t="n">
        <f aca="false">IF(ISNUMBER(Raw_Data!B86),Raw_Data!B86,DATEVALUE(TRIM(Raw_Data!B86)))</f>
        <v>46280</v>
      </c>
      <c r="C86" s="16" t="str">
        <f aca="false">PROPER(TRIM(Raw_Data!C86))</f>
        <v>Maya Patel</v>
      </c>
      <c r="D86" s="16" t="str">
        <f aca="false">PROPER(TRIM(Raw_Data!D86))</f>
        <v>Billing</v>
      </c>
      <c r="E86" s="16" t="str">
        <f aca="false">PROPER(TRIM(Raw_Data!E86))</f>
        <v>High</v>
      </c>
      <c r="F86" s="16" t="str">
        <f aca="false">PROPER(TRIM(Raw_Data!F86))</f>
        <v>Open</v>
      </c>
      <c r="G86" s="18" t="str">
        <f aca="false">IF(Raw_Data!G86="","",IF(Raw_Data!G86&gt;Brief!$C$17,"",Raw_Data!G86))</f>
        <v/>
      </c>
      <c r="H86" s="16" t="str">
        <f aca="false">IF(Raw_Data!H86="","",Raw_Data!H86)</f>
        <v/>
      </c>
      <c r="I86" s="16" t="str">
        <f aca="false">IF(COUNTIF($A$2:A86,A86)&gt;1,"Duplicate","OK")</f>
        <v>OK</v>
      </c>
      <c r="J86" s="16" t="str">
        <f aca="false">IF(ISNUMBER(Raw_Data!B86),"","Text date fixed")</f>
        <v/>
      </c>
      <c r="K86" s="16" t="str">
        <f aca="false">IF(Raw_Data!G86="",IF(F86="Resolved","Missing hours",""),IF(Raw_Data!G86&gt;Brief!$C$17,"Outlier removed",""))</f>
        <v/>
      </c>
      <c r="L86" s="16" t="n">
        <f aca="false">IF(I86="OK",1,0)</f>
        <v>1</v>
      </c>
    </row>
    <row r="87" customFormat="false" ht="15" hidden="false" customHeight="false" outlineLevel="0" collapsed="false">
      <c r="A87" s="16" t="str">
        <f aca="false">TRIM(Raw_Data!A87)</f>
        <v>TKT-1086</v>
      </c>
      <c r="B87" s="17" t="n">
        <f aca="false">IF(ISNUMBER(Raw_Data!B87),Raw_Data!B87,DATEVALUE(TRIM(Raw_Data!B87)))</f>
        <v>46280</v>
      </c>
      <c r="C87" s="16" t="str">
        <f aca="false">PROPER(TRIM(Raw_Data!C87))</f>
        <v>Sofia Rossi</v>
      </c>
      <c r="D87" s="16" t="str">
        <f aca="false">PROPER(TRIM(Raw_Data!D87))</f>
        <v>Login Issue</v>
      </c>
      <c r="E87" s="16" t="str">
        <f aca="false">PROPER(TRIM(Raw_Data!E87))</f>
        <v>Medium</v>
      </c>
      <c r="F87" s="16" t="str">
        <f aca="false">PROPER(TRIM(Raw_Data!F87))</f>
        <v>Escalated</v>
      </c>
      <c r="G87" s="18" t="str">
        <f aca="false">IF(Raw_Data!G87="","",IF(Raw_Data!G87&gt;Brief!$C$17,"",Raw_Data!G87))</f>
        <v/>
      </c>
      <c r="H87" s="16" t="str">
        <f aca="false">IF(Raw_Data!H87="","",Raw_Data!H87)</f>
        <v/>
      </c>
      <c r="I87" s="16" t="str">
        <f aca="false">IF(COUNTIF($A$2:A87,A87)&gt;1,"Duplicate","OK")</f>
        <v>OK</v>
      </c>
      <c r="J87" s="16" t="str">
        <f aca="false">IF(ISNUMBER(Raw_Data!B87),"","Text date fixed")</f>
        <v/>
      </c>
      <c r="K87" s="16" t="str">
        <f aca="false">IF(Raw_Data!G87="",IF(F87="Resolved","Missing hours",""),IF(Raw_Data!G87&gt;Brief!$C$17,"Outlier removed",""))</f>
        <v/>
      </c>
      <c r="L87" s="16" t="n">
        <f aca="false">IF(I87="OK",1,0)</f>
        <v>1</v>
      </c>
    </row>
    <row r="88" customFormat="false" ht="15" hidden="false" customHeight="false" outlineLevel="0" collapsed="false">
      <c r="A88" s="16" t="str">
        <f aca="false">TRIM(Raw_Data!A88)</f>
        <v>TKT-1087</v>
      </c>
      <c r="B88" s="17" t="n">
        <f aca="false">IF(ISNUMBER(Raw_Data!B88),Raw_Data!B88,DATEVALUE(TRIM(Raw_Data!B88)))</f>
        <v>46280</v>
      </c>
      <c r="C88" s="16" t="str">
        <f aca="false">PROPER(TRIM(Raw_Data!C88))</f>
        <v>Maya Patel</v>
      </c>
      <c r="D88" s="16" t="str">
        <f aca="false">PROPER(TRIM(Raw_Data!D88))</f>
        <v>Billing</v>
      </c>
      <c r="E88" s="16" t="str">
        <f aca="false">PROPER(TRIM(Raw_Data!E88))</f>
        <v>High</v>
      </c>
      <c r="F88" s="16" t="str">
        <f aca="false">PROPER(TRIM(Raw_Data!F88))</f>
        <v>Resolved</v>
      </c>
      <c r="G88" s="18" t="n">
        <f aca="false">IF(Raw_Data!G88="","",IF(Raw_Data!G88&gt;Brief!$C$17,"",Raw_Data!G88))</f>
        <v>5.5</v>
      </c>
      <c r="H88" s="16" t="n">
        <f aca="false">IF(Raw_Data!H88="","",Raw_Data!H88)</f>
        <v>5</v>
      </c>
      <c r="I88" s="16" t="str">
        <f aca="false">IF(COUNTIF($A$2:A88,A88)&gt;1,"Duplicate","OK")</f>
        <v>OK</v>
      </c>
      <c r="J88" s="16" t="str">
        <f aca="false">IF(ISNUMBER(Raw_Data!B88),"","Text date fixed")</f>
        <v/>
      </c>
      <c r="K88" s="16" t="str">
        <f aca="false">IF(Raw_Data!G88="",IF(F88="Resolved","Missing hours",""),IF(Raw_Data!G88&gt;Brief!$C$17,"Outlier removed",""))</f>
        <v/>
      </c>
      <c r="L88" s="16" t="n">
        <f aca="false">IF(I88="OK",1,0)</f>
        <v>1</v>
      </c>
    </row>
    <row r="89" customFormat="false" ht="15" hidden="false" customHeight="false" outlineLevel="0" collapsed="false">
      <c r="A89" s="16" t="str">
        <f aca="false">TRIM(Raw_Data!A89)</f>
        <v>TKT-1088</v>
      </c>
      <c r="B89" s="17" t="n">
        <f aca="false">IF(ISNUMBER(Raw_Data!B89),Raw_Data!B89,DATEVALUE(TRIM(Raw_Data!B89)))</f>
        <v>46280</v>
      </c>
      <c r="C89" s="16" t="str">
        <f aca="false">PROPER(TRIM(Raw_Data!C89))</f>
        <v>Noah Kim</v>
      </c>
      <c r="D89" s="16" t="str">
        <f aca="false">PROPER(TRIM(Raw_Data!D89))</f>
        <v>Delivery</v>
      </c>
      <c r="E89" s="16" t="str">
        <f aca="false">PROPER(TRIM(Raw_Data!E89))</f>
        <v>Low</v>
      </c>
      <c r="F89" s="16" t="str">
        <f aca="false">PROPER(TRIM(Raw_Data!F89))</f>
        <v>Resolved</v>
      </c>
      <c r="G89" s="18" t="n">
        <f aca="false">IF(Raw_Data!G89="","",IF(Raw_Data!G89&gt;Brief!$C$17,"",Raw_Data!G89))</f>
        <v>12.7</v>
      </c>
      <c r="H89" s="16" t="n">
        <f aca="false">IF(Raw_Data!H89="","",Raw_Data!H89)</f>
        <v>4</v>
      </c>
      <c r="I89" s="16" t="str">
        <f aca="false">IF(COUNTIF($A$2:A89,A89)&gt;1,"Duplicate","OK")</f>
        <v>OK</v>
      </c>
      <c r="J89" s="16" t="str">
        <f aca="false">IF(ISNUMBER(Raw_Data!B89),"","Text date fixed")</f>
        <v/>
      </c>
      <c r="K89" s="16" t="str">
        <f aca="false">IF(Raw_Data!G89="",IF(F89="Resolved","Missing hours",""),IF(Raw_Data!G89&gt;Brief!$C$17,"Outlier removed",""))</f>
        <v/>
      </c>
      <c r="L89" s="16" t="n">
        <f aca="false">IF(I89="OK",1,0)</f>
        <v>1</v>
      </c>
    </row>
    <row r="90" customFormat="false" ht="15" hidden="false" customHeight="false" outlineLevel="0" collapsed="false">
      <c r="A90" s="16" t="str">
        <f aca="false">TRIM(Raw_Data!A90)</f>
        <v>TKT-1089</v>
      </c>
      <c r="B90" s="17" t="n">
        <f aca="false">IF(ISNUMBER(Raw_Data!B90),Raw_Data!B90,DATEVALUE(TRIM(Raw_Data!B90)))</f>
        <v>46281</v>
      </c>
      <c r="C90" s="16" t="str">
        <f aca="false">PROPER(TRIM(Raw_Data!C90))</f>
        <v>Liam O'Brien</v>
      </c>
      <c r="D90" s="16" t="str">
        <f aca="false">PROPER(TRIM(Raw_Data!D90))</f>
        <v>Login Issue</v>
      </c>
      <c r="E90" s="16" t="str">
        <f aca="false">PROPER(TRIM(Raw_Data!E90))</f>
        <v>Medium</v>
      </c>
      <c r="F90" s="16" t="str">
        <f aca="false">PROPER(TRIM(Raw_Data!F90))</f>
        <v>Resolved</v>
      </c>
      <c r="G90" s="18" t="n">
        <f aca="false">IF(Raw_Data!G90="","",IF(Raw_Data!G90&gt;Brief!$C$17,"",Raw_Data!G90))</f>
        <v>15.6</v>
      </c>
      <c r="H90" s="16" t="n">
        <f aca="false">IF(Raw_Data!H90="","",Raw_Data!H90)</f>
        <v>5</v>
      </c>
      <c r="I90" s="16" t="str">
        <f aca="false">IF(COUNTIF($A$2:A90,A90)&gt;1,"Duplicate","OK")</f>
        <v>OK</v>
      </c>
      <c r="J90" s="16" t="str">
        <f aca="false">IF(ISNUMBER(Raw_Data!B90),"","Text date fixed")</f>
        <v/>
      </c>
      <c r="K90" s="16" t="str">
        <f aca="false">IF(Raw_Data!G90="",IF(F90="Resolved","Missing hours",""),IF(Raw_Data!G90&gt;Brief!$C$17,"Outlier removed",""))</f>
        <v/>
      </c>
      <c r="L90" s="16" t="n">
        <f aca="false">IF(I90="OK",1,0)</f>
        <v>1</v>
      </c>
    </row>
    <row r="91" customFormat="false" ht="15" hidden="false" customHeight="false" outlineLevel="0" collapsed="false">
      <c r="A91" s="16" t="str">
        <f aca="false">TRIM(Raw_Data!A91)</f>
        <v>TKT-1090</v>
      </c>
      <c r="B91" s="17" t="n">
        <f aca="false">IF(ISNUMBER(Raw_Data!B91),Raw_Data!B91,DATEVALUE(TRIM(Raw_Data!B91)))</f>
        <v>46281</v>
      </c>
      <c r="C91" s="16" t="str">
        <f aca="false">PROPER(TRIM(Raw_Data!C91))</f>
        <v>Maya Patel</v>
      </c>
      <c r="D91" s="16" t="str">
        <f aca="false">PROPER(TRIM(Raw_Data!D91))</f>
        <v>Bug Report</v>
      </c>
      <c r="E91" s="16" t="str">
        <f aca="false">PROPER(TRIM(Raw_Data!E91))</f>
        <v>Medium</v>
      </c>
      <c r="F91" s="16" t="str">
        <f aca="false">PROPER(TRIM(Raw_Data!F91))</f>
        <v>Resolved</v>
      </c>
      <c r="G91" s="18" t="n">
        <f aca="false">IF(Raw_Data!G91="","",IF(Raw_Data!G91&gt;Brief!$C$17,"",Raw_Data!G91))</f>
        <v>9</v>
      </c>
      <c r="H91" s="16" t="str">
        <f aca="false">IF(Raw_Data!H91="","",Raw_Data!H91)</f>
        <v/>
      </c>
      <c r="I91" s="16" t="str">
        <f aca="false">IF(COUNTIF($A$2:A91,A91)&gt;1,"Duplicate","OK")</f>
        <v>OK</v>
      </c>
      <c r="J91" s="16" t="str">
        <f aca="false">IF(ISNUMBER(Raw_Data!B91),"","Text date fixed")</f>
        <v/>
      </c>
      <c r="K91" s="16" t="str">
        <f aca="false">IF(Raw_Data!G91="",IF(F91="Resolved","Missing hours",""),IF(Raw_Data!G91&gt;Brief!$C$17,"Outlier removed",""))</f>
        <v/>
      </c>
      <c r="L91" s="16" t="n">
        <f aca="false">IF(I91="OK",1,0)</f>
        <v>1</v>
      </c>
    </row>
    <row r="92" customFormat="false" ht="15" hidden="false" customHeight="false" outlineLevel="0" collapsed="false">
      <c r="A92" s="16" t="str">
        <f aca="false">TRIM(Raw_Data!A92)</f>
        <v>TKT-1091</v>
      </c>
      <c r="B92" s="17" t="n">
        <f aca="false">IF(ISNUMBER(Raw_Data!B92),Raw_Data!B92,DATEVALUE(TRIM(Raw_Data!B92)))</f>
        <v>46281</v>
      </c>
      <c r="C92" s="16" t="str">
        <f aca="false">PROPER(TRIM(Raw_Data!C92))</f>
        <v>Maya Patel</v>
      </c>
      <c r="D92" s="16" t="str">
        <f aca="false">PROPER(TRIM(Raw_Data!D92))</f>
        <v>Billing</v>
      </c>
      <c r="E92" s="16" t="str">
        <f aca="false">PROPER(TRIM(Raw_Data!E92))</f>
        <v>Low</v>
      </c>
      <c r="F92" s="16" t="str">
        <f aca="false">PROPER(TRIM(Raw_Data!F92))</f>
        <v>Resolved</v>
      </c>
      <c r="G92" s="18" t="n">
        <f aca="false">IF(Raw_Data!G92="","",IF(Raw_Data!G92&gt;Brief!$C$17,"",Raw_Data!G92))</f>
        <v>21.9</v>
      </c>
      <c r="H92" s="16" t="n">
        <f aca="false">IF(Raw_Data!H92="","",Raw_Data!H92)</f>
        <v>3</v>
      </c>
      <c r="I92" s="16" t="str">
        <f aca="false">IF(COUNTIF($A$2:A92,A92)&gt;1,"Duplicate","OK")</f>
        <v>OK</v>
      </c>
      <c r="J92" s="16" t="str">
        <f aca="false">IF(ISNUMBER(Raw_Data!B92),"","Text date fixed")</f>
        <v/>
      </c>
      <c r="K92" s="16" t="str">
        <f aca="false">IF(Raw_Data!G92="",IF(F92="Resolved","Missing hours",""),IF(Raw_Data!G92&gt;Brief!$C$17,"Outlier removed",""))</f>
        <v/>
      </c>
      <c r="L92" s="16" t="n">
        <f aca="false">IF(I92="OK",1,0)</f>
        <v>1</v>
      </c>
    </row>
    <row r="93" customFormat="false" ht="15" hidden="false" customHeight="false" outlineLevel="0" collapsed="false">
      <c r="A93" s="16" t="str">
        <f aca="false">TRIM(Raw_Data!A93)</f>
        <v>TKT-1092</v>
      </c>
      <c r="B93" s="17" t="n">
        <f aca="false">IF(ISNUMBER(Raw_Data!B93),Raw_Data!B93,DATEVALUE(TRIM(Raw_Data!B93)))</f>
        <v>46281</v>
      </c>
      <c r="C93" s="16" t="str">
        <f aca="false">PROPER(TRIM(Raw_Data!C93))</f>
        <v>Ava Johnson</v>
      </c>
      <c r="D93" s="16" t="str">
        <f aca="false">PROPER(TRIM(Raw_Data!D93))</f>
        <v>Delivery</v>
      </c>
      <c r="E93" s="16" t="str">
        <f aca="false">PROPER(TRIM(Raw_Data!E93))</f>
        <v>Low</v>
      </c>
      <c r="F93" s="16" t="str">
        <f aca="false">PROPER(TRIM(Raw_Data!F93))</f>
        <v>Resolved</v>
      </c>
      <c r="G93" s="18" t="n">
        <f aca="false">IF(Raw_Data!G93="","",IF(Raw_Data!G93&gt;Brief!$C$17,"",Raw_Data!G93))</f>
        <v>40.9</v>
      </c>
      <c r="H93" s="16" t="n">
        <f aca="false">IF(Raw_Data!H93="","",Raw_Data!H93)</f>
        <v>3</v>
      </c>
      <c r="I93" s="16" t="str">
        <f aca="false">IF(COUNTIF($A$2:A93,A93)&gt;1,"Duplicate","OK")</f>
        <v>OK</v>
      </c>
      <c r="J93" s="16" t="str">
        <f aca="false">IF(ISNUMBER(Raw_Data!B93),"","Text date fixed")</f>
        <v/>
      </c>
      <c r="K93" s="16" t="str">
        <f aca="false">IF(Raw_Data!G93="",IF(F93="Resolved","Missing hours",""),IF(Raw_Data!G93&gt;Brief!$C$17,"Outlier removed",""))</f>
        <v/>
      </c>
      <c r="L93" s="16" t="n">
        <f aca="false">IF(I93="OK",1,0)</f>
        <v>1</v>
      </c>
    </row>
    <row r="94" customFormat="false" ht="15" hidden="false" customHeight="false" outlineLevel="0" collapsed="false">
      <c r="A94" s="16" t="str">
        <f aca="false">TRIM(Raw_Data!A94)</f>
        <v>TKT-1093</v>
      </c>
      <c r="B94" s="17" t="n">
        <f aca="false">IF(ISNUMBER(Raw_Data!B94),Raw_Data!B94,DATEVALUE(TRIM(Raw_Data!B94)))</f>
        <v>46282</v>
      </c>
      <c r="C94" s="16" t="str">
        <f aca="false">PROPER(TRIM(Raw_Data!C94))</f>
        <v>Sofia Rossi</v>
      </c>
      <c r="D94" s="16" t="str">
        <f aca="false">PROPER(TRIM(Raw_Data!D94))</f>
        <v>Billing</v>
      </c>
      <c r="E94" s="16" t="str">
        <f aca="false">PROPER(TRIM(Raw_Data!E94))</f>
        <v>Medium</v>
      </c>
      <c r="F94" s="16" t="str">
        <f aca="false">PROPER(TRIM(Raw_Data!F94))</f>
        <v>Resolved</v>
      </c>
      <c r="G94" s="18" t="n">
        <f aca="false">IF(Raw_Data!G94="","",IF(Raw_Data!G94&gt;Brief!$C$17,"",Raw_Data!G94))</f>
        <v>24.2</v>
      </c>
      <c r="H94" s="16" t="n">
        <f aca="false">IF(Raw_Data!H94="","",Raw_Data!H94)</f>
        <v>4</v>
      </c>
      <c r="I94" s="16" t="str">
        <f aca="false">IF(COUNTIF($A$2:A94,A94)&gt;1,"Duplicate","OK")</f>
        <v>OK</v>
      </c>
      <c r="J94" s="16" t="str">
        <f aca="false">IF(ISNUMBER(Raw_Data!B94),"","Text date fixed")</f>
        <v/>
      </c>
      <c r="K94" s="16" t="str">
        <f aca="false">IF(Raw_Data!G94="",IF(F94="Resolved","Missing hours",""),IF(Raw_Data!G94&gt;Brief!$C$17,"Outlier removed",""))</f>
        <v/>
      </c>
      <c r="L94" s="16" t="n">
        <f aca="false">IF(I94="OK",1,0)</f>
        <v>1</v>
      </c>
    </row>
    <row r="95" customFormat="false" ht="15" hidden="false" customHeight="false" outlineLevel="0" collapsed="false">
      <c r="A95" s="16" t="str">
        <f aca="false">TRIM(Raw_Data!A95)</f>
        <v>TKT-1094</v>
      </c>
      <c r="B95" s="17" t="n">
        <f aca="false">IF(ISNUMBER(Raw_Data!B95),Raw_Data!B95,DATEVALUE(TRIM(Raw_Data!B95)))</f>
        <v>46282</v>
      </c>
      <c r="C95" s="16" t="str">
        <f aca="false">PROPER(TRIM(Raw_Data!C95))</f>
        <v>Ava Johnson</v>
      </c>
      <c r="D95" s="16" t="str">
        <f aca="false">PROPER(TRIM(Raw_Data!D95))</f>
        <v>Billing</v>
      </c>
      <c r="E95" s="16" t="str">
        <f aca="false">PROPER(TRIM(Raw_Data!E95))</f>
        <v>Low</v>
      </c>
      <c r="F95" s="16" t="str">
        <f aca="false">PROPER(TRIM(Raw_Data!F95))</f>
        <v>Resolved</v>
      </c>
      <c r="G95" s="18" t="n">
        <f aca="false">IF(Raw_Data!G95="","",IF(Raw_Data!G95&gt;Brief!$C$17,"",Raw_Data!G95))</f>
        <v>9.7</v>
      </c>
      <c r="H95" s="16" t="n">
        <f aca="false">IF(Raw_Data!H95="","",Raw_Data!H95)</f>
        <v>5</v>
      </c>
      <c r="I95" s="16" t="str">
        <f aca="false">IF(COUNTIF($A$2:A95,A95)&gt;1,"Duplicate","OK")</f>
        <v>OK</v>
      </c>
      <c r="J95" s="16" t="str">
        <f aca="false">IF(ISNUMBER(Raw_Data!B95),"","Text date fixed")</f>
        <v/>
      </c>
      <c r="K95" s="16" t="str">
        <f aca="false">IF(Raw_Data!G95="",IF(F95="Resolved","Missing hours",""),IF(Raw_Data!G95&gt;Brief!$C$17,"Outlier removed",""))</f>
        <v/>
      </c>
      <c r="L95" s="16" t="n">
        <f aca="false">IF(I95="OK",1,0)</f>
        <v>1</v>
      </c>
    </row>
    <row r="96" customFormat="false" ht="15" hidden="false" customHeight="false" outlineLevel="0" collapsed="false">
      <c r="A96" s="16" t="str">
        <f aca="false">TRIM(Raw_Data!A96)</f>
        <v>TKT-1095</v>
      </c>
      <c r="B96" s="17" t="n">
        <f aca="false">IF(ISNUMBER(Raw_Data!B96),Raw_Data!B96,DATEVALUE(TRIM(Raw_Data!B96)))</f>
        <v>46282</v>
      </c>
      <c r="C96" s="16" t="str">
        <f aca="false">PROPER(TRIM(Raw_Data!C96))</f>
        <v>Maya Patel</v>
      </c>
      <c r="D96" s="16" t="str">
        <f aca="false">PROPER(TRIM(Raw_Data!D96))</f>
        <v>Bug Report</v>
      </c>
      <c r="E96" s="16" t="str">
        <f aca="false">PROPER(TRIM(Raw_Data!E96))</f>
        <v>Urgent</v>
      </c>
      <c r="F96" s="16" t="str">
        <f aca="false">PROPER(TRIM(Raw_Data!F96))</f>
        <v>Resolved</v>
      </c>
      <c r="G96" s="18" t="n">
        <f aca="false">IF(Raw_Data!G96="","",IF(Raw_Data!G96&gt;Brief!$C$17,"",Raw_Data!G96))</f>
        <v>4.4</v>
      </c>
      <c r="H96" s="16" t="str">
        <f aca="false">IF(Raw_Data!H96="","",Raw_Data!H96)</f>
        <v/>
      </c>
      <c r="I96" s="16" t="str">
        <f aca="false">IF(COUNTIF($A$2:A96,A96)&gt;1,"Duplicate","OK")</f>
        <v>OK</v>
      </c>
      <c r="J96" s="16" t="str">
        <f aca="false">IF(ISNUMBER(Raw_Data!B96),"","Text date fixed")</f>
        <v/>
      </c>
      <c r="K96" s="16" t="str">
        <f aca="false">IF(Raw_Data!G96="",IF(F96="Resolved","Missing hours",""),IF(Raw_Data!G96&gt;Brief!$C$17,"Outlier removed",""))</f>
        <v/>
      </c>
      <c r="L96" s="16" t="n">
        <f aca="false">IF(I96="OK",1,0)</f>
        <v>1</v>
      </c>
    </row>
    <row r="97" customFormat="false" ht="15" hidden="false" customHeight="false" outlineLevel="0" collapsed="false">
      <c r="A97" s="16" t="str">
        <f aca="false">TRIM(Raw_Data!A97)</f>
        <v>TKT-1096</v>
      </c>
      <c r="B97" s="17" t="n">
        <f aca="false">IF(ISNUMBER(Raw_Data!B97),Raw_Data!B97,DATEVALUE(TRIM(Raw_Data!B97)))</f>
        <v>46282</v>
      </c>
      <c r="C97" s="16" t="str">
        <f aca="false">PROPER(TRIM(Raw_Data!C97))</f>
        <v>Sofia Rossi</v>
      </c>
      <c r="D97" s="16" t="str">
        <f aca="false">PROPER(TRIM(Raw_Data!D97))</f>
        <v>Billing</v>
      </c>
      <c r="E97" s="16" t="str">
        <f aca="false">PROPER(TRIM(Raw_Data!E97))</f>
        <v>Low</v>
      </c>
      <c r="F97" s="16" t="str">
        <f aca="false">PROPER(TRIM(Raw_Data!F97))</f>
        <v>Resolved</v>
      </c>
      <c r="G97" s="18" t="n">
        <f aca="false">IF(Raw_Data!G97="","",IF(Raw_Data!G97&gt;Brief!$C$17,"",Raw_Data!G97))</f>
        <v>39</v>
      </c>
      <c r="H97" s="16" t="str">
        <f aca="false">IF(Raw_Data!H97="","",Raw_Data!H97)</f>
        <v/>
      </c>
      <c r="I97" s="16" t="str">
        <f aca="false">IF(COUNTIF($A$2:A97,A97)&gt;1,"Duplicate","OK")</f>
        <v>OK</v>
      </c>
      <c r="J97" s="16" t="str">
        <f aca="false">IF(ISNUMBER(Raw_Data!B97),"","Text date fixed")</f>
        <v/>
      </c>
      <c r="K97" s="16" t="str">
        <f aca="false">IF(Raw_Data!G97="",IF(F97="Resolved","Missing hours",""),IF(Raw_Data!G97&gt;Brief!$C$17,"Outlier removed",""))</f>
        <v/>
      </c>
      <c r="L97" s="16" t="n">
        <f aca="false">IF(I97="OK",1,0)</f>
        <v>1</v>
      </c>
    </row>
    <row r="98" customFormat="false" ht="15" hidden="false" customHeight="false" outlineLevel="0" collapsed="false">
      <c r="A98" s="16" t="str">
        <f aca="false">TRIM(Raw_Data!A98)</f>
        <v>TKT-1097</v>
      </c>
      <c r="B98" s="17" t="n">
        <f aca="false">IF(ISNUMBER(Raw_Data!B98),Raw_Data!B98,DATEVALUE(TRIM(Raw_Data!B98)))</f>
        <v>46282</v>
      </c>
      <c r="C98" s="16" t="str">
        <f aca="false">PROPER(TRIM(Raw_Data!C98))</f>
        <v>Ava Johnson</v>
      </c>
      <c r="D98" s="16" t="str">
        <f aca="false">PROPER(TRIM(Raw_Data!D98))</f>
        <v>Delivery</v>
      </c>
      <c r="E98" s="16" t="str">
        <f aca="false">PROPER(TRIM(Raw_Data!E98))</f>
        <v>Medium</v>
      </c>
      <c r="F98" s="16" t="str">
        <f aca="false">PROPER(TRIM(Raw_Data!F98))</f>
        <v>Resolved</v>
      </c>
      <c r="G98" s="18" t="n">
        <f aca="false">IF(Raw_Data!G98="","",IF(Raw_Data!G98&gt;Brief!$C$17,"",Raw_Data!G98))</f>
        <v>4.5</v>
      </c>
      <c r="H98" s="16" t="n">
        <f aca="false">IF(Raw_Data!H98="","",Raw_Data!H98)</f>
        <v>4</v>
      </c>
      <c r="I98" s="16" t="str">
        <f aca="false">IF(COUNTIF($A$2:A98,A98)&gt;1,"Duplicate","OK")</f>
        <v>OK</v>
      </c>
      <c r="J98" s="16" t="str">
        <f aca="false">IF(ISNUMBER(Raw_Data!B98),"","Text date fixed")</f>
        <v/>
      </c>
      <c r="K98" s="16" t="str">
        <f aca="false">IF(Raw_Data!G98="",IF(F98="Resolved","Missing hours",""),IF(Raw_Data!G98&gt;Brief!$C$17,"Outlier removed",""))</f>
        <v/>
      </c>
      <c r="L98" s="16" t="n">
        <f aca="false">IF(I98="OK",1,0)</f>
        <v>1</v>
      </c>
    </row>
    <row r="99" customFormat="false" ht="15" hidden="false" customHeight="false" outlineLevel="0" collapsed="false">
      <c r="A99" s="16" t="str">
        <f aca="false">TRIM(Raw_Data!A99)</f>
        <v>TKT-1098</v>
      </c>
      <c r="B99" s="17" t="n">
        <f aca="false">IF(ISNUMBER(Raw_Data!B99),Raw_Data!B99,DATEVALUE(TRIM(Raw_Data!B99)))</f>
        <v>46282</v>
      </c>
      <c r="C99" s="16" t="str">
        <f aca="false">PROPER(TRIM(Raw_Data!C99))</f>
        <v>Liam O'Brien</v>
      </c>
      <c r="D99" s="16" t="str">
        <f aca="false">PROPER(TRIM(Raw_Data!D99))</f>
        <v>Billing</v>
      </c>
      <c r="E99" s="16" t="str">
        <f aca="false">PROPER(TRIM(Raw_Data!E99))</f>
        <v>Urgent</v>
      </c>
      <c r="F99" s="16" t="str">
        <f aca="false">PROPER(TRIM(Raw_Data!F99))</f>
        <v>Resolved</v>
      </c>
      <c r="G99" s="18" t="n">
        <f aca="false">IF(Raw_Data!G99="","",IF(Raw_Data!G99&gt;Brief!$C$17,"",Raw_Data!G99))</f>
        <v>3.5</v>
      </c>
      <c r="H99" s="16" t="n">
        <f aca="false">IF(Raw_Data!H99="","",Raw_Data!H99)</f>
        <v>4</v>
      </c>
      <c r="I99" s="16" t="str">
        <f aca="false">IF(COUNTIF($A$2:A99,A99)&gt;1,"Duplicate","OK")</f>
        <v>OK</v>
      </c>
      <c r="J99" s="16" t="str">
        <f aca="false">IF(ISNUMBER(Raw_Data!B99),"","Text date fixed")</f>
        <v/>
      </c>
      <c r="K99" s="16" t="str">
        <f aca="false">IF(Raw_Data!G99="",IF(F99="Resolved","Missing hours",""),IF(Raw_Data!G99&gt;Brief!$C$17,"Outlier removed",""))</f>
        <v/>
      </c>
      <c r="L99" s="16" t="n">
        <f aca="false">IF(I99="OK",1,0)</f>
        <v>1</v>
      </c>
    </row>
    <row r="100" customFormat="false" ht="15" hidden="false" customHeight="false" outlineLevel="0" collapsed="false">
      <c r="A100" s="16" t="str">
        <f aca="false">TRIM(Raw_Data!A100)</f>
        <v>TKT-1099</v>
      </c>
      <c r="B100" s="17" t="n">
        <f aca="false">IF(ISNUMBER(Raw_Data!B100),Raw_Data!B100,DATEVALUE(TRIM(Raw_Data!B100)))</f>
        <v>46282</v>
      </c>
      <c r="C100" s="16" t="str">
        <f aca="false">PROPER(TRIM(Raw_Data!C100))</f>
        <v>Maya Patel</v>
      </c>
      <c r="D100" s="16" t="str">
        <f aca="false">PROPER(TRIM(Raw_Data!D100))</f>
        <v>Billing</v>
      </c>
      <c r="E100" s="16" t="str">
        <f aca="false">PROPER(TRIM(Raw_Data!E100))</f>
        <v>High</v>
      </c>
      <c r="F100" s="16" t="str">
        <f aca="false">PROPER(TRIM(Raw_Data!F100))</f>
        <v>Resolved</v>
      </c>
      <c r="G100" s="18" t="n">
        <f aca="false">IF(Raw_Data!G100="","",IF(Raw_Data!G100&gt;Brief!$C$17,"",Raw_Data!G100))</f>
        <v>7.4</v>
      </c>
      <c r="H100" s="16" t="n">
        <f aca="false">IF(Raw_Data!H100="","",Raw_Data!H100)</f>
        <v>4</v>
      </c>
      <c r="I100" s="16" t="str">
        <f aca="false">IF(COUNTIF($A$2:A100,A100)&gt;1,"Duplicate","OK")</f>
        <v>OK</v>
      </c>
      <c r="J100" s="16" t="str">
        <f aca="false">IF(ISNUMBER(Raw_Data!B100),"","Text date fixed")</f>
        <v>Text date fixed</v>
      </c>
      <c r="K100" s="16" t="str">
        <f aca="false">IF(Raw_Data!G100="",IF(F100="Resolved","Missing hours",""),IF(Raw_Data!G100&gt;Brief!$C$17,"Outlier removed",""))</f>
        <v/>
      </c>
      <c r="L100" s="16" t="n">
        <f aca="false">IF(I100="OK",1,0)</f>
        <v>1</v>
      </c>
    </row>
    <row r="101" customFormat="false" ht="15" hidden="false" customHeight="false" outlineLevel="0" collapsed="false">
      <c r="A101" s="16" t="str">
        <f aca="false">TRIM(Raw_Data!A101)</f>
        <v>TKT-1100</v>
      </c>
      <c r="B101" s="17" t="n">
        <f aca="false">IF(ISNUMBER(Raw_Data!B101),Raw_Data!B101,DATEVALUE(TRIM(Raw_Data!B101)))</f>
        <v>46282</v>
      </c>
      <c r="C101" s="16" t="str">
        <f aca="false">PROPER(TRIM(Raw_Data!C101))</f>
        <v>Sofia Rossi</v>
      </c>
      <c r="D101" s="16" t="str">
        <f aca="false">PROPER(TRIM(Raw_Data!D101))</f>
        <v>Login Issue</v>
      </c>
      <c r="E101" s="16" t="str">
        <f aca="false">PROPER(TRIM(Raw_Data!E101))</f>
        <v>Low</v>
      </c>
      <c r="F101" s="16" t="str">
        <f aca="false">PROPER(TRIM(Raw_Data!F101))</f>
        <v>Resolved</v>
      </c>
      <c r="G101" s="18" t="str">
        <f aca="false">IF(Raw_Data!G101="","",IF(Raw_Data!G101&gt;Brief!$C$17,"",Raw_Data!G101))</f>
        <v/>
      </c>
      <c r="H101" s="16" t="n">
        <f aca="false">IF(Raw_Data!H101="","",Raw_Data!H101)</f>
        <v>3</v>
      </c>
      <c r="I101" s="16" t="str">
        <f aca="false">IF(COUNTIF($A$2:A101,A101)&gt;1,"Duplicate","OK")</f>
        <v>OK</v>
      </c>
      <c r="J101" s="16" t="str">
        <f aca="false">IF(ISNUMBER(Raw_Data!B101),"","Text date fixed")</f>
        <v/>
      </c>
      <c r="K101" s="16" t="str">
        <f aca="false">IF(Raw_Data!G101="",IF(F101="Resolved","Missing hours",""),IF(Raw_Data!G101&gt;Brief!$C$17,"Outlier removed",""))</f>
        <v>Outlier removed</v>
      </c>
      <c r="L101" s="16" t="n">
        <f aca="false">IF(I101="OK",1,0)</f>
        <v>1</v>
      </c>
    </row>
    <row r="102" customFormat="false" ht="15" hidden="false" customHeight="false" outlineLevel="0" collapsed="false">
      <c r="A102" s="16" t="str">
        <f aca="false">TRIM(Raw_Data!A102)</f>
        <v>TKT-1101</v>
      </c>
      <c r="B102" s="17" t="n">
        <f aca="false">IF(ISNUMBER(Raw_Data!B102),Raw_Data!B102,DATEVALUE(TRIM(Raw_Data!B102)))</f>
        <v>46283</v>
      </c>
      <c r="C102" s="16" t="str">
        <f aca="false">PROPER(TRIM(Raw_Data!C102))</f>
        <v>Sofia Rossi</v>
      </c>
      <c r="D102" s="16" t="str">
        <f aca="false">PROPER(TRIM(Raw_Data!D102))</f>
        <v>Login Issue</v>
      </c>
      <c r="E102" s="16" t="str">
        <f aca="false">PROPER(TRIM(Raw_Data!E102))</f>
        <v>Low</v>
      </c>
      <c r="F102" s="16" t="str">
        <f aca="false">PROPER(TRIM(Raw_Data!F102))</f>
        <v>Resolved</v>
      </c>
      <c r="G102" s="18" t="n">
        <f aca="false">IF(Raw_Data!G102="","",IF(Raw_Data!G102&gt;Brief!$C$17,"",Raw_Data!G102))</f>
        <v>57</v>
      </c>
      <c r="H102" s="16" t="n">
        <f aca="false">IF(Raw_Data!H102="","",Raw_Data!H102)</f>
        <v>2</v>
      </c>
      <c r="I102" s="16" t="str">
        <f aca="false">IF(COUNTIF($A$2:A102,A102)&gt;1,"Duplicate","OK")</f>
        <v>OK</v>
      </c>
      <c r="J102" s="16" t="str">
        <f aca="false">IF(ISNUMBER(Raw_Data!B102),"","Text date fixed")</f>
        <v/>
      </c>
      <c r="K102" s="16" t="str">
        <f aca="false">IF(Raw_Data!G102="",IF(F102="Resolved","Missing hours",""),IF(Raw_Data!G102&gt;Brief!$C$17,"Outlier removed",""))</f>
        <v/>
      </c>
      <c r="L102" s="16" t="n">
        <f aca="false">IF(I102="OK",1,0)</f>
        <v>1</v>
      </c>
    </row>
    <row r="103" customFormat="false" ht="15" hidden="false" customHeight="false" outlineLevel="0" collapsed="false">
      <c r="A103" s="16" t="str">
        <f aca="false">TRIM(Raw_Data!A103)</f>
        <v>TKT-1102</v>
      </c>
      <c r="B103" s="17" t="n">
        <f aca="false">IF(ISNUMBER(Raw_Data!B103),Raw_Data!B103,DATEVALUE(TRIM(Raw_Data!B103)))</f>
        <v>46283</v>
      </c>
      <c r="C103" s="16" t="str">
        <f aca="false">PROPER(TRIM(Raw_Data!C103))</f>
        <v>Noah Kim</v>
      </c>
      <c r="D103" s="16" t="str">
        <f aca="false">PROPER(TRIM(Raw_Data!D103))</f>
        <v>Feature Request</v>
      </c>
      <c r="E103" s="16" t="str">
        <f aca="false">PROPER(TRIM(Raw_Data!E103))</f>
        <v>Medium</v>
      </c>
      <c r="F103" s="16" t="str">
        <f aca="false">PROPER(TRIM(Raw_Data!F103))</f>
        <v>Open</v>
      </c>
      <c r="G103" s="18" t="str">
        <f aca="false">IF(Raw_Data!G103="","",IF(Raw_Data!G103&gt;Brief!$C$17,"",Raw_Data!G103))</f>
        <v/>
      </c>
      <c r="H103" s="16" t="str">
        <f aca="false">IF(Raw_Data!H103="","",Raw_Data!H103)</f>
        <v/>
      </c>
      <c r="I103" s="16" t="str">
        <f aca="false">IF(COUNTIF($A$2:A103,A103)&gt;1,"Duplicate","OK")</f>
        <v>OK</v>
      </c>
      <c r="J103" s="16" t="str">
        <f aca="false">IF(ISNUMBER(Raw_Data!B103),"","Text date fixed")</f>
        <v/>
      </c>
      <c r="K103" s="16" t="str">
        <f aca="false">IF(Raw_Data!G103="",IF(F103="Resolved","Missing hours",""),IF(Raw_Data!G103&gt;Brief!$C$17,"Outlier removed",""))</f>
        <v/>
      </c>
      <c r="L103" s="16" t="n">
        <f aca="false">IF(I103="OK",1,0)</f>
        <v>1</v>
      </c>
    </row>
    <row r="104" customFormat="false" ht="15" hidden="false" customHeight="false" outlineLevel="0" collapsed="false">
      <c r="A104" s="16" t="str">
        <f aca="false">TRIM(Raw_Data!A104)</f>
        <v>TKT-1103</v>
      </c>
      <c r="B104" s="17" t="n">
        <f aca="false">IF(ISNUMBER(Raw_Data!B104),Raw_Data!B104,DATEVALUE(TRIM(Raw_Data!B104)))</f>
        <v>46283</v>
      </c>
      <c r="C104" s="16" t="str">
        <f aca="false">PROPER(TRIM(Raw_Data!C104))</f>
        <v>Noah Kim</v>
      </c>
      <c r="D104" s="16" t="str">
        <f aca="false">PROPER(TRIM(Raw_Data!D104))</f>
        <v>Bug Report</v>
      </c>
      <c r="E104" s="16" t="str">
        <f aca="false">PROPER(TRIM(Raw_Data!E104))</f>
        <v>Medium</v>
      </c>
      <c r="F104" s="16" t="str">
        <f aca="false">PROPER(TRIM(Raw_Data!F104))</f>
        <v>Resolved</v>
      </c>
      <c r="G104" s="18" t="n">
        <f aca="false">IF(Raw_Data!G104="","",IF(Raw_Data!G104&gt;Brief!$C$17,"",Raw_Data!G104))</f>
        <v>12.2</v>
      </c>
      <c r="H104" s="16" t="n">
        <f aca="false">IF(Raw_Data!H104="","",Raw_Data!H104)</f>
        <v>5</v>
      </c>
      <c r="I104" s="16" t="str">
        <f aca="false">IF(COUNTIF($A$2:A104,A104)&gt;1,"Duplicate","OK")</f>
        <v>OK</v>
      </c>
      <c r="J104" s="16" t="str">
        <f aca="false">IF(ISNUMBER(Raw_Data!B104),"","Text date fixed")</f>
        <v/>
      </c>
      <c r="K104" s="16" t="str">
        <f aca="false">IF(Raw_Data!G104="",IF(F104="Resolved","Missing hours",""),IF(Raw_Data!G104&gt;Brief!$C$17,"Outlier removed",""))</f>
        <v/>
      </c>
      <c r="L104" s="16" t="n">
        <f aca="false">IF(I104="OK",1,0)</f>
        <v>1</v>
      </c>
    </row>
    <row r="105" customFormat="false" ht="15" hidden="false" customHeight="false" outlineLevel="0" collapsed="false">
      <c r="A105" s="16" t="str">
        <f aca="false">TRIM(Raw_Data!A105)</f>
        <v>TKT-1104</v>
      </c>
      <c r="B105" s="17" t="n">
        <f aca="false">IF(ISNUMBER(Raw_Data!B105),Raw_Data!B105,DATEVALUE(TRIM(Raw_Data!B105)))</f>
        <v>46283</v>
      </c>
      <c r="C105" s="16" t="str">
        <f aca="false">PROPER(TRIM(Raw_Data!C105))</f>
        <v>Ava Johnson</v>
      </c>
      <c r="D105" s="16" t="str">
        <f aca="false">PROPER(TRIM(Raw_Data!D105))</f>
        <v>Billing</v>
      </c>
      <c r="E105" s="16" t="str">
        <f aca="false">PROPER(TRIM(Raw_Data!E105))</f>
        <v>Medium</v>
      </c>
      <c r="F105" s="16" t="str">
        <f aca="false">PROPER(TRIM(Raw_Data!F105))</f>
        <v>Resolved</v>
      </c>
      <c r="G105" s="18" t="n">
        <f aca="false">IF(Raw_Data!G105="","",IF(Raw_Data!G105&gt;Brief!$C$17,"",Raw_Data!G105))</f>
        <v>7</v>
      </c>
      <c r="H105" s="16" t="n">
        <f aca="false">IF(Raw_Data!H105="","",Raw_Data!H105)</f>
        <v>5</v>
      </c>
      <c r="I105" s="16" t="str">
        <f aca="false">IF(COUNTIF($A$2:A105,A105)&gt;1,"Duplicate","OK")</f>
        <v>OK</v>
      </c>
      <c r="J105" s="16" t="str">
        <f aca="false">IF(ISNUMBER(Raw_Data!B105),"","Text date fixed")</f>
        <v/>
      </c>
      <c r="K105" s="16" t="str">
        <f aca="false">IF(Raw_Data!G105="",IF(F105="Resolved","Missing hours",""),IF(Raw_Data!G105&gt;Brief!$C$17,"Outlier removed",""))</f>
        <v/>
      </c>
      <c r="L105" s="16" t="n">
        <f aca="false">IF(I105="OK",1,0)</f>
        <v>1</v>
      </c>
    </row>
    <row r="106" customFormat="false" ht="15" hidden="false" customHeight="false" outlineLevel="0" collapsed="false">
      <c r="A106" s="16" t="str">
        <f aca="false">TRIM(Raw_Data!A106)</f>
        <v>TKT-1105</v>
      </c>
      <c r="B106" s="17" t="n">
        <f aca="false">IF(ISNUMBER(Raw_Data!B106),Raw_Data!B106,DATEVALUE(TRIM(Raw_Data!B106)))</f>
        <v>46283</v>
      </c>
      <c r="C106" s="16" t="str">
        <f aca="false">PROPER(TRIM(Raw_Data!C106))</f>
        <v>Maya Patel</v>
      </c>
      <c r="D106" s="16" t="str">
        <f aca="false">PROPER(TRIM(Raw_Data!D106))</f>
        <v>Feature Request</v>
      </c>
      <c r="E106" s="16" t="str">
        <f aca="false">PROPER(TRIM(Raw_Data!E106))</f>
        <v>Medium</v>
      </c>
      <c r="F106" s="16" t="str">
        <f aca="false">PROPER(TRIM(Raw_Data!F106))</f>
        <v>Resolved</v>
      </c>
      <c r="G106" s="18" t="n">
        <f aca="false">IF(Raw_Data!G106="","",IF(Raw_Data!G106&gt;Brief!$C$17,"",Raw_Data!G106))</f>
        <v>27.3</v>
      </c>
      <c r="H106" s="16" t="n">
        <f aca="false">IF(Raw_Data!H106="","",Raw_Data!H106)</f>
        <v>3</v>
      </c>
      <c r="I106" s="16" t="str">
        <f aca="false">IF(COUNTIF($A$2:A106,A106)&gt;1,"Duplicate","OK")</f>
        <v>OK</v>
      </c>
      <c r="J106" s="16" t="str">
        <f aca="false">IF(ISNUMBER(Raw_Data!B106),"","Text date fixed")</f>
        <v/>
      </c>
      <c r="K106" s="16" t="str">
        <f aca="false">IF(Raw_Data!G106="",IF(F106="Resolved","Missing hours",""),IF(Raw_Data!G106&gt;Brief!$C$17,"Outlier removed",""))</f>
        <v/>
      </c>
      <c r="L106" s="16" t="n">
        <f aca="false">IF(I106="OK",1,0)</f>
        <v>1</v>
      </c>
    </row>
    <row r="107" customFormat="false" ht="15" hidden="false" customHeight="false" outlineLevel="0" collapsed="false">
      <c r="A107" s="16" t="str">
        <f aca="false">TRIM(Raw_Data!A107)</f>
        <v>TKT-1106</v>
      </c>
      <c r="B107" s="17" t="n">
        <f aca="false">IF(ISNUMBER(Raw_Data!B107),Raw_Data!B107,DATEVALUE(TRIM(Raw_Data!B107)))</f>
        <v>46284</v>
      </c>
      <c r="C107" s="16" t="str">
        <f aca="false">PROPER(TRIM(Raw_Data!C107))</f>
        <v>Ava Johnson</v>
      </c>
      <c r="D107" s="16" t="str">
        <f aca="false">PROPER(TRIM(Raw_Data!D107))</f>
        <v>Bug Report</v>
      </c>
      <c r="E107" s="16" t="str">
        <f aca="false">PROPER(TRIM(Raw_Data!E107))</f>
        <v>High</v>
      </c>
      <c r="F107" s="16" t="str">
        <f aca="false">PROPER(TRIM(Raw_Data!F107))</f>
        <v>Resolved</v>
      </c>
      <c r="G107" s="18" t="n">
        <f aca="false">IF(Raw_Data!G107="","",IF(Raw_Data!G107&gt;Brief!$C$17,"",Raw_Data!G107))</f>
        <v>14.1</v>
      </c>
      <c r="H107" s="16" t="n">
        <f aca="false">IF(Raw_Data!H107="","",Raw_Data!H107)</f>
        <v>4</v>
      </c>
      <c r="I107" s="16" t="str">
        <f aca="false">IF(COUNTIF($A$2:A107,A107)&gt;1,"Duplicate","OK")</f>
        <v>OK</v>
      </c>
      <c r="J107" s="16" t="str">
        <f aca="false">IF(ISNUMBER(Raw_Data!B107),"","Text date fixed")</f>
        <v/>
      </c>
      <c r="K107" s="16" t="str">
        <f aca="false">IF(Raw_Data!G107="",IF(F107="Resolved","Missing hours",""),IF(Raw_Data!G107&gt;Brief!$C$17,"Outlier removed",""))</f>
        <v/>
      </c>
      <c r="L107" s="16" t="n">
        <f aca="false">IF(I107="OK",1,0)</f>
        <v>1</v>
      </c>
    </row>
    <row r="108" customFormat="false" ht="15" hidden="false" customHeight="false" outlineLevel="0" collapsed="false">
      <c r="A108" s="16" t="str">
        <f aca="false">TRIM(Raw_Data!A108)</f>
        <v>TKT-1107</v>
      </c>
      <c r="B108" s="17" t="n">
        <f aca="false">IF(ISNUMBER(Raw_Data!B108),Raw_Data!B108,DATEVALUE(TRIM(Raw_Data!B108)))</f>
        <v>46284</v>
      </c>
      <c r="C108" s="16" t="str">
        <f aca="false">PROPER(TRIM(Raw_Data!C108))</f>
        <v>Ava Johnson</v>
      </c>
      <c r="D108" s="16" t="str">
        <f aca="false">PROPER(TRIM(Raw_Data!D108))</f>
        <v>Billing</v>
      </c>
      <c r="E108" s="16" t="str">
        <f aca="false">PROPER(TRIM(Raw_Data!E108))</f>
        <v>Medium</v>
      </c>
      <c r="F108" s="16" t="str">
        <f aca="false">PROPER(TRIM(Raw_Data!F108))</f>
        <v>Resolved</v>
      </c>
      <c r="G108" s="18" t="n">
        <f aca="false">IF(Raw_Data!G108="","",IF(Raw_Data!G108&gt;Brief!$C$17,"",Raw_Data!G108))</f>
        <v>9.4</v>
      </c>
      <c r="H108" s="16" t="n">
        <f aca="false">IF(Raw_Data!H108="","",Raw_Data!H108)</f>
        <v>4</v>
      </c>
      <c r="I108" s="16" t="str">
        <f aca="false">IF(COUNTIF($A$2:A108,A108)&gt;1,"Duplicate","OK")</f>
        <v>OK</v>
      </c>
      <c r="J108" s="16" t="str">
        <f aca="false">IF(ISNUMBER(Raw_Data!B108),"","Text date fixed")</f>
        <v/>
      </c>
      <c r="K108" s="16" t="str">
        <f aca="false">IF(Raw_Data!G108="",IF(F108="Resolved","Missing hours",""),IF(Raw_Data!G108&gt;Brief!$C$17,"Outlier removed",""))</f>
        <v/>
      </c>
      <c r="L108" s="16" t="n">
        <f aca="false">IF(I108="OK",1,0)</f>
        <v>1</v>
      </c>
    </row>
    <row r="109" customFormat="false" ht="15" hidden="false" customHeight="false" outlineLevel="0" collapsed="false">
      <c r="A109" s="16" t="str">
        <f aca="false">TRIM(Raw_Data!A109)</f>
        <v>TKT-1108</v>
      </c>
      <c r="B109" s="17" t="n">
        <f aca="false">IF(ISNUMBER(Raw_Data!B109),Raw_Data!B109,DATEVALUE(TRIM(Raw_Data!B109)))</f>
        <v>46285</v>
      </c>
      <c r="C109" s="16" t="str">
        <f aca="false">PROPER(TRIM(Raw_Data!C109))</f>
        <v>Liam O'Brien</v>
      </c>
      <c r="D109" s="16" t="str">
        <f aca="false">PROPER(TRIM(Raw_Data!D109))</f>
        <v>Billing</v>
      </c>
      <c r="E109" s="16" t="str">
        <f aca="false">PROPER(TRIM(Raw_Data!E109))</f>
        <v>Medium</v>
      </c>
      <c r="F109" s="16" t="str">
        <f aca="false">PROPER(TRIM(Raw_Data!F109))</f>
        <v>Resolved</v>
      </c>
      <c r="G109" s="18" t="n">
        <f aca="false">IF(Raw_Data!G109="","",IF(Raw_Data!G109&gt;Brief!$C$17,"",Raw_Data!G109))</f>
        <v>5.3</v>
      </c>
      <c r="H109" s="16" t="n">
        <f aca="false">IF(Raw_Data!H109="","",Raw_Data!H109)</f>
        <v>4</v>
      </c>
      <c r="I109" s="16" t="str">
        <f aca="false">IF(COUNTIF($A$2:A109,A109)&gt;1,"Duplicate","OK")</f>
        <v>OK</v>
      </c>
      <c r="J109" s="16" t="str">
        <f aca="false">IF(ISNUMBER(Raw_Data!B109),"","Text date fixed")</f>
        <v/>
      </c>
      <c r="K109" s="16" t="str">
        <f aca="false">IF(Raw_Data!G109="",IF(F109="Resolved","Missing hours",""),IF(Raw_Data!G109&gt;Brief!$C$17,"Outlier removed",""))</f>
        <v/>
      </c>
      <c r="L109" s="16" t="n">
        <f aca="false">IF(I109="OK",1,0)</f>
        <v>1</v>
      </c>
    </row>
    <row r="110" customFormat="false" ht="15" hidden="false" customHeight="false" outlineLevel="0" collapsed="false">
      <c r="A110" s="16" t="str">
        <f aca="false">TRIM(Raw_Data!A110)</f>
        <v>TKT-1109</v>
      </c>
      <c r="B110" s="17" t="n">
        <f aca="false">IF(ISNUMBER(Raw_Data!B110),Raw_Data!B110,DATEVALUE(TRIM(Raw_Data!B110)))</f>
        <v>46285</v>
      </c>
      <c r="C110" s="16" t="str">
        <f aca="false">PROPER(TRIM(Raw_Data!C110))</f>
        <v>Noah Kim</v>
      </c>
      <c r="D110" s="16" t="str">
        <f aca="false">PROPER(TRIM(Raw_Data!D110))</f>
        <v>Login Issue</v>
      </c>
      <c r="E110" s="16" t="str">
        <f aca="false">PROPER(TRIM(Raw_Data!E110))</f>
        <v>Low</v>
      </c>
      <c r="F110" s="16" t="str">
        <f aca="false">PROPER(TRIM(Raw_Data!F110))</f>
        <v>Resolved</v>
      </c>
      <c r="G110" s="18" t="n">
        <f aca="false">IF(Raw_Data!G110="","",IF(Raw_Data!G110&gt;Brief!$C$17,"",Raw_Data!G110))</f>
        <v>17.5</v>
      </c>
      <c r="H110" s="16" t="n">
        <f aca="false">IF(Raw_Data!H110="","",Raw_Data!H110)</f>
        <v>4</v>
      </c>
      <c r="I110" s="16" t="str">
        <f aca="false">IF(COUNTIF($A$2:A110,A110)&gt;1,"Duplicate","OK")</f>
        <v>OK</v>
      </c>
      <c r="J110" s="16" t="str">
        <f aca="false">IF(ISNUMBER(Raw_Data!B110),"","Text date fixed")</f>
        <v/>
      </c>
      <c r="K110" s="16" t="str">
        <f aca="false">IF(Raw_Data!G110="",IF(F110="Resolved","Missing hours",""),IF(Raw_Data!G110&gt;Brief!$C$17,"Outlier removed",""))</f>
        <v/>
      </c>
      <c r="L110" s="16" t="n">
        <f aca="false">IF(I110="OK",1,0)</f>
        <v>1</v>
      </c>
    </row>
    <row r="111" customFormat="false" ht="15" hidden="false" customHeight="false" outlineLevel="0" collapsed="false">
      <c r="A111" s="16" t="str">
        <f aca="false">TRIM(Raw_Data!A111)</f>
        <v>TKT-1110</v>
      </c>
      <c r="B111" s="17" t="n">
        <f aca="false">IF(ISNUMBER(Raw_Data!B111),Raw_Data!B111,DATEVALUE(TRIM(Raw_Data!B111)))</f>
        <v>46286</v>
      </c>
      <c r="C111" s="16" t="str">
        <f aca="false">PROPER(TRIM(Raw_Data!C111))</f>
        <v>Maya Patel</v>
      </c>
      <c r="D111" s="16" t="str">
        <f aca="false">PROPER(TRIM(Raw_Data!D111))</f>
        <v>Bug Report</v>
      </c>
      <c r="E111" s="16" t="str">
        <f aca="false">PROPER(TRIM(Raw_Data!E111))</f>
        <v>Medium</v>
      </c>
      <c r="F111" s="16" t="str">
        <f aca="false">PROPER(TRIM(Raw_Data!F111))</f>
        <v>Resolved</v>
      </c>
      <c r="G111" s="18" t="n">
        <f aca="false">IF(Raw_Data!G111="","",IF(Raw_Data!G111&gt;Brief!$C$17,"",Raw_Data!G111))</f>
        <v>41.9</v>
      </c>
      <c r="H111" s="16" t="n">
        <f aca="false">IF(Raw_Data!H111="","",Raw_Data!H111)</f>
        <v>3</v>
      </c>
      <c r="I111" s="16" t="str">
        <f aca="false">IF(COUNTIF($A$2:A111,A111)&gt;1,"Duplicate","OK")</f>
        <v>OK</v>
      </c>
      <c r="J111" s="16" t="str">
        <f aca="false">IF(ISNUMBER(Raw_Data!B111),"","Text date fixed")</f>
        <v/>
      </c>
      <c r="K111" s="16" t="str">
        <f aca="false">IF(Raw_Data!G111="",IF(F111="Resolved","Missing hours",""),IF(Raw_Data!G111&gt;Brief!$C$17,"Outlier removed",""))</f>
        <v/>
      </c>
      <c r="L111" s="16" t="n">
        <f aca="false">IF(I111="OK",1,0)</f>
        <v>1</v>
      </c>
    </row>
    <row r="112" customFormat="false" ht="15" hidden="false" customHeight="false" outlineLevel="0" collapsed="false">
      <c r="A112" s="16" t="str">
        <f aca="false">TRIM(Raw_Data!A112)</f>
        <v>TKT-1111</v>
      </c>
      <c r="B112" s="17" t="n">
        <f aca="false">IF(ISNUMBER(Raw_Data!B112),Raw_Data!B112,DATEVALUE(TRIM(Raw_Data!B112)))</f>
        <v>46286</v>
      </c>
      <c r="C112" s="16" t="str">
        <f aca="false">PROPER(TRIM(Raw_Data!C112))</f>
        <v>Maya Patel</v>
      </c>
      <c r="D112" s="16" t="str">
        <f aca="false">PROPER(TRIM(Raw_Data!D112))</f>
        <v>Billing</v>
      </c>
      <c r="E112" s="16" t="str">
        <f aca="false">PROPER(TRIM(Raw_Data!E112))</f>
        <v>Medium</v>
      </c>
      <c r="F112" s="16" t="str">
        <f aca="false">PROPER(TRIM(Raw_Data!F112))</f>
        <v>Resolved</v>
      </c>
      <c r="G112" s="18" t="n">
        <f aca="false">IF(Raw_Data!G112="","",IF(Raw_Data!G112&gt;Brief!$C$17,"",Raw_Data!G112))</f>
        <v>25.3</v>
      </c>
      <c r="H112" s="16" t="n">
        <f aca="false">IF(Raw_Data!H112="","",Raw_Data!H112)</f>
        <v>4</v>
      </c>
      <c r="I112" s="16" t="str">
        <f aca="false">IF(COUNTIF($A$2:A112,A112)&gt;1,"Duplicate","OK")</f>
        <v>OK</v>
      </c>
      <c r="J112" s="16" t="str">
        <f aca="false">IF(ISNUMBER(Raw_Data!B112),"","Text date fixed")</f>
        <v/>
      </c>
      <c r="K112" s="16" t="str">
        <f aca="false">IF(Raw_Data!G112="",IF(F112="Resolved","Missing hours",""),IF(Raw_Data!G112&gt;Brief!$C$17,"Outlier removed",""))</f>
        <v/>
      </c>
      <c r="L112" s="16" t="n">
        <f aca="false">IF(I112="OK",1,0)</f>
        <v>1</v>
      </c>
    </row>
    <row r="113" customFormat="false" ht="15" hidden="false" customHeight="false" outlineLevel="0" collapsed="false">
      <c r="A113" s="16" t="str">
        <f aca="false">TRIM(Raw_Data!A113)</f>
        <v>TKT-1112</v>
      </c>
      <c r="B113" s="17" t="n">
        <f aca="false">IF(ISNUMBER(Raw_Data!B113),Raw_Data!B113,DATEVALUE(TRIM(Raw_Data!B113)))</f>
        <v>46286</v>
      </c>
      <c r="C113" s="16" t="str">
        <f aca="false">PROPER(TRIM(Raw_Data!C113))</f>
        <v>Maya Patel</v>
      </c>
      <c r="D113" s="16" t="str">
        <f aca="false">PROPER(TRIM(Raw_Data!D113))</f>
        <v>Bug Report</v>
      </c>
      <c r="E113" s="16" t="str">
        <f aca="false">PROPER(TRIM(Raw_Data!E113))</f>
        <v>Low</v>
      </c>
      <c r="F113" s="16" t="str">
        <f aca="false">PROPER(TRIM(Raw_Data!F113))</f>
        <v>Resolved</v>
      </c>
      <c r="G113" s="18" t="str">
        <f aca="false">IF(Raw_Data!G113="","",IF(Raw_Data!G113&gt;Brief!$C$17,"",Raw_Data!G113))</f>
        <v/>
      </c>
      <c r="H113" s="16" t="str">
        <f aca="false">IF(Raw_Data!H113="","",Raw_Data!H113)</f>
        <v/>
      </c>
      <c r="I113" s="16" t="str">
        <f aca="false">IF(COUNTIF($A$2:A113,A113)&gt;1,"Duplicate","OK")</f>
        <v>OK</v>
      </c>
      <c r="J113" s="16" t="str">
        <f aca="false">IF(ISNUMBER(Raw_Data!B113),"","Text date fixed")</f>
        <v/>
      </c>
      <c r="K113" s="16" t="str">
        <f aca="false">IF(Raw_Data!G113="",IF(F113="Resolved","Missing hours",""),IF(Raw_Data!G113&gt;Brief!$C$17,"Outlier removed",""))</f>
        <v>Missing hours</v>
      </c>
      <c r="L113" s="16" t="n">
        <f aca="false">IF(I113="OK",1,0)</f>
        <v>1</v>
      </c>
    </row>
    <row r="114" customFormat="false" ht="15" hidden="false" customHeight="false" outlineLevel="0" collapsed="false">
      <c r="A114" s="16" t="str">
        <f aca="false">TRIM(Raw_Data!A114)</f>
        <v>TKT-1113</v>
      </c>
      <c r="B114" s="17" t="n">
        <f aca="false">IF(ISNUMBER(Raw_Data!B114),Raw_Data!B114,DATEVALUE(TRIM(Raw_Data!B114)))</f>
        <v>46286</v>
      </c>
      <c r="C114" s="16" t="str">
        <f aca="false">PROPER(TRIM(Raw_Data!C114))</f>
        <v>Liam O'Brien</v>
      </c>
      <c r="D114" s="16" t="str">
        <f aca="false">PROPER(TRIM(Raw_Data!D114))</f>
        <v>Billing</v>
      </c>
      <c r="E114" s="16" t="str">
        <f aca="false">PROPER(TRIM(Raw_Data!E114))</f>
        <v>Low</v>
      </c>
      <c r="F114" s="16" t="str">
        <f aca="false">PROPER(TRIM(Raw_Data!F114))</f>
        <v>Resolved</v>
      </c>
      <c r="G114" s="18" t="n">
        <f aca="false">IF(Raw_Data!G114="","",IF(Raw_Data!G114&gt;Brief!$C$17,"",Raw_Data!G114))</f>
        <v>21.2</v>
      </c>
      <c r="H114" s="16" t="n">
        <f aca="false">IF(Raw_Data!H114="","",Raw_Data!H114)</f>
        <v>4</v>
      </c>
      <c r="I114" s="16" t="str">
        <f aca="false">IF(COUNTIF($A$2:A114,A114)&gt;1,"Duplicate","OK")</f>
        <v>OK</v>
      </c>
      <c r="J114" s="16" t="str">
        <f aca="false">IF(ISNUMBER(Raw_Data!B114),"","Text date fixed")</f>
        <v/>
      </c>
      <c r="K114" s="16" t="str">
        <f aca="false">IF(Raw_Data!G114="",IF(F114="Resolved","Missing hours",""),IF(Raw_Data!G114&gt;Brief!$C$17,"Outlier removed",""))</f>
        <v/>
      </c>
      <c r="L114" s="16" t="n">
        <f aca="false">IF(I114="OK",1,0)</f>
        <v>1</v>
      </c>
    </row>
    <row r="115" customFormat="false" ht="15" hidden="false" customHeight="false" outlineLevel="0" collapsed="false">
      <c r="A115" s="16" t="str">
        <f aca="false">TRIM(Raw_Data!A115)</f>
        <v>TKT-1114</v>
      </c>
      <c r="B115" s="17" t="n">
        <f aca="false">IF(ISNUMBER(Raw_Data!B115),Raw_Data!B115,DATEVALUE(TRIM(Raw_Data!B115)))</f>
        <v>46286</v>
      </c>
      <c r="C115" s="16" t="str">
        <f aca="false">PROPER(TRIM(Raw_Data!C115))</f>
        <v>Noah Kim</v>
      </c>
      <c r="D115" s="16" t="str">
        <f aca="false">PROPER(TRIM(Raw_Data!D115))</f>
        <v>Billing</v>
      </c>
      <c r="E115" s="16" t="str">
        <f aca="false">PROPER(TRIM(Raw_Data!E115))</f>
        <v>High</v>
      </c>
      <c r="F115" s="16" t="str">
        <f aca="false">PROPER(TRIM(Raw_Data!F115))</f>
        <v>Resolved</v>
      </c>
      <c r="G115" s="18" t="n">
        <f aca="false">IF(Raw_Data!G115="","",IF(Raw_Data!G115&gt;Brief!$C$17,"",Raw_Data!G115))</f>
        <v>16</v>
      </c>
      <c r="H115" s="16" t="n">
        <f aca="false">IF(Raw_Data!H115="","",Raw_Data!H115)</f>
        <v>4</v>
      </c>
      <c r="I115" s="16" t="str">
        <f aca="false">IF(COUNTIF($A$2:A115,A115)&gt;1,"Duplicate","OK")</f>
        <v>OK</v>
      </c>
      <c r="J115" s="16" t="str">
        <f aca="false">IF(ISNUMBER(Raw_Data!B115),"","Text date fixed")</f>
        <v/>
      </c>
      <c r="K115" s="16" t="str">
        <f aca="false">IF(Raw_Data!G115="",IF(F115="Resolved","Missing hours",""),IF(Raw_Data!G115&gt;Brief!$C$17,"Outlier removed",""))</f>
        <v/>
      </c>
      <c r="L115" s="16" t="n">
        <f aca="false">IF(I115="OK",1,0)</f>
        <v>1</v>
      </c>
    </row>
    <row r="116" customFormat="false" ht="15" hidden="false" customHeight="false" outlineLevel="0" collapsed="false">
      <c r="A116" s="16" t="str">
        <f aca="false">TRIM(Raw_Data!A116)</f>
        <v>TKT-1115</v>
      </c>
      <c r="B116" s="17" t="n">
        <f aca="false">IF(ISNUMBER(Raw_Data!B116),Raw_Data!B116,DATEVALUE(TRIM(Raw_Data!B116)))</f>
        <v>46286</v>
      </c>
      <c r="C116" s="16" t="str">
        <f aca="false">PROPER(TRIM(Raw_Data!C116))</f>
        <v>Sofia Rossi</v>
      </c>
      <c r="D116" s="16" t="str">
        <f aca="false">PROPER(TRIM(Raw_Data!D116))</f>
        <v>Billing</v>
      </c>
      <c r="E116" s="16" t="str">
        <f aca="false">PROPER(TRIM(Raw_Data!E116))</f>
        <v>High</v>
      </c>
      <c r="F116" s="16" t="str">
        <f aca="false">PROPER(TRIM(Raw_Data!F116))</f>
        <v>Resolved</v>
      </c>
      <c r="G116" s="18" t="n">
        <f aca="false">IF(Raw_Data!G116="","",IF(Raw_Data!G116&gt;Brief!$C$17,"",Raw_Data!G116))</f>
        <v>15.4</v>
      </c>
      <c r="H116" s="16" t="n">
        <f aca="false">IF(Raw_Data!H116="","",Raw_Data!H116)</f>
        <v>5</v>
      </c>
      <c r="I116" s="16" t="str">
        <f aca="false">IF(COUNTIF($A$2:A116,A116)&gt;1,"Duplicate","OK")</f>
        <v>OK</v>
      </c>
      <c r="J116" s="16" t="str">
        <f aca="false">IF(ISNUMBER(Raw_Data!B116),"","Text date fixed")</f>
        <v/>
      </c>
      <c r="K116" s="16" t="str">
        <f aca="false">IF(Raw_Data!G116="",IF(F116="Resolved","Missing hours",""),IF(Raw_Data!G116&gt;Brief!$C$17,"Outlier removed",""))</f>
        <v/>
      </c>
      <c r="L116" s="16" t="n">
        <f aca="false">IF(I116="OK",1,0)</f>
        <v>1</v>
      </c>
    </row>
    <row r="117" customFormat="false" ht="15" hidden="false" customHeight="false" outlineLevel="0" collapsed="false">
      <c r="A117" s="16" t="str">
        <f aca="false">TRIM(Raw_Data!A117)</f>
        <v>TKT-1116</v>
      </c>
      <c r="B117" s="17" t="n">
        <f aca="false">IF(ISNUMBER(Raw_Data!B117),Raw_Data!B117,DATEVALUE(TRIM(Raw_Data!B117)))</f>
        <v>46287</v>
      </c>
      <c r="C117" s="16" t="str">
        <f aca="false">PROPER(TRIM(Raw_Data!C117))</f>
        <v>Noah Kim</v>
      </c>
      <c r="D117" s="16" t="str">
        <f aca="false">PROPER(TRIM(Raw_Data!D117))</f>
        <v>Billing</v>
      </c>
      <c r="E117" s="16" t="str">
        <f aca="false">PROPER(TRIM(Raw_Data!E117))</f>
        <v>Low</v>
      </c>
      <c r="F117" s="16" t="str">
        <f aca="false">PROPER(TRIM(Raw_Data!F117))</f>
        <v>Resolved</v>
      </c>
      <c r="G117" s="18" t="n">
        <f aca="false">IF(Raw_Data!G117="","",IF(Raw_Data!G117&gt;Brief!$C$17,"",Raw_Data!G117))</f>
        <v>18.7</v>
      </c>
      <c r="H117" s="16" t="n">
        <f aca="false">IF(Raw_Data!H117="","",Raw_Data!H117)</f>
        <v>4</v>
      </c>
      <c r="I117" s="16" t="str">
        <f aca="false">IF(COUNTIF($A$2:A117,A117)&gt;1,"Duplicate","OK")</f>
        <v>OK</v>
      </c>
      <c r="J117" s="16" t="str">
        <f aca="false">IF(ISNUMBER(Raw_Data!B117),"","Text date fixed")</f>
        <v/>
      </c>
      <c r="K117" s="16" t="str">
        <f aca="false">IF(Raw_Data!G117="",IF(F117="Resolved","Missing hours",""),IF(Raw_Data!G117&gt;Brief!$C$17,"Outlier removed",""))</f>
        <v/>
      </c>
      <c r="L117" s="16" t="n">
        <f aca="false">IF(I117="OK",1,0)</f>
        <v>1</v>
      </c>
    </row>
    <row r="118" customFormat="false" ht="15" hidden="false" customHeight="false" outlineLevel="0" collapsed="false">
      <c r="A118" s="16" t="str">
        <f aca="false">TRIM(Raw_Data!A118)</f>
        <v>TKT-1117</v>
      </c>
      <c r="B118" s="17" t="n">
        <f aca="false">IF(ISNUMBER(Raw_Data!B118),Raw_Data!B118,DATEVALUE(TRIM(Raw_Data!B118)))</f>
        <v>46287</v>
      </c>
      <c r="C118" s="16" t="str">
        <f aca="false">PROPER(TRIM(Raw_Data!C118))</f>
        <v>Sofia Rossi</v>
      </c>
      <c r="D118" s="16" t="str">
        <f aca="false">PROPER(TRIM(Raw_Data!D118))</f>
        <v>Delivery</v>
      </c>
      <c r="E118" s="16" t="str">
        <f aca="false">PROPER(TRIM(Raw_Data!E118))</f>
        <v>Low</v>
      </c>
      <c r="F118" s="16" t="str">
        <f aca="false">PROPER(TRIM(Raw_Data!F118))</f>
        <v>Resolved</v>
      </c>
      <c r="G118" s="18" t="n">
        <f aca="false">IF(Raw_Data!G118="","",IF(Raw_Data!G118&gt;Brief!$C$17,"",Raw_Data!G118))</f>
        <v>13.6</v>
      </c>
      <c r="H118" s="16" t="n">
        <f aca="false">IF(Raw_Data!H118="","",Raw_Data!H118)</f>
        <v>5</v>
      </c>
      <c r="I118" s="16" t="str">
        <f aca="false">IF(COUNTIF($A$2:A118,A118)&gt;1,"Duplicate","OK")</f>
        <v>OK</v>
      </c>
      <c r="J118" s="16" t="str">
        <f aca="false">IF(ISNUMBER(Raw_Data!B118),"","Text date fixed")</f>
        <v/>
      </c>
      <c r="K118" s="16" t="str">
        <f aca="false">IF(Raw_Data!G118="",IF(F118="Resolved","Missing hours",""),IF(Raw_Data!G118&gt;Brief!$C$17,"Outlier removed",""))</f>
        <v/>
      </c>
      <c r="L118" s="16" t="n">
        <f aca="false">IF(I118="OK",1,0)</f>
        <v>1</v>
      </c>
    </row>
    <row r="119" customFormat="false" ht="15" hidden="false" customHeight="false" outlineLevel="0" collapsed="false">
      <c r="A119" s="16" t="str">
        <f aca="false">TRIM(Raw_Data!A119)</f>
        <v>TKT-1118</v>
      </c>
      <c r="B119" s="17" t="n">
        <f aca="false">IF(ISNUMBER(Raw_Data!B119),Raw_Data!B119,DATEVALUE(TRIM(Raw_Data!B119)))</f>
        <v>46287</v>
      </c>
      <c r="C119" s="16" t="str">
        <f aca="false">PROPER(TRIM(Raw_Data!C119))</f>
        <v>Sofia Rossi</v>
      </c>
      <c r="D119" s="16" t="str">
        <f aca="false">PROPER(TRIM(Raw_Data!D119))</f>
        <v>Feature Request</v>
      </c>
      <c r="E119" s="16" t="str">
        <f aca="false">PROPER(TRIM(Raw_Data!E119))</f>
        <v>Medium</v>
      </c>
      <c r="F119" s="16" t="str">
        <f aca="false">PROPER(TRIM(Raw_Data!F119))</f>
        <v>Resolved</v>
      </c>
      <c r="G119" s="18" t="str">
        <f aca="false">IF(Raw_Data!G119="","",IF(Raw_Data!G119&gt;Brief!$C$17,"",Raw_Data!G119))</f>
        <v/>
      </c>
      <c r="H119" s="16" t="str">
        <f aca="false">IF(Raw_Data!H119="","",Raw_Data!H119)</f>
        <v/>
      </c>
      <c r="I119" s="16" t="str">
        <f aca="false">IF(COUNTIF($A$2:A119,A119)&gt;1,"Duplicate","OK")</f>
        <v>OK</v>
      </c>
      <c r="J119" s="16" t="str">
        <f aca="false">IF(ISNUMBER(Raw_Data!B119),"","Text date fixed")</f>
        <v/>
      </c>
      <c r="K119" s="16" t="str">
        <f aca="false">IF(Raw_Data!G119="",IF(F119="Resolved","Missing hours",""),IF(Raw_Data!G119&gt;Brief!$C$17,"Outlier removed",""))</f>
        <v>Missing hours</v>
      </c>
      <c r="L119" s="16" t="n">
        <f aca="false">IF(I119="OK",1,0)</f>
        <v>1</v>
      </c>
    </row>
    <row r="120" customFormat="false" ht="15" hidden="false" customHeight="false" outlineLevel="0" collapsed="false">
      <c r="A120" s="16" t="str">
        <f aca="false">TRIM(Raw_Data!A120)</f>
        <v>TKT-1119</v>
      </c>
      <c r="B120" s="17" t="n">
        <f aca="false">IF(ISNUMBER(Raw_Data!B120),Raw_Data!B120,DATEVALUE(TRIM(Raw_Data!B120)))</f>
        <v>46287</v>
      </c>
      <c r="C120" s="16" t="str">
        <f aca="false">PROPER(TRIM(Raw_Data!C120))</f>
        <v>Noah Kim</v>
      </c>
      <c r="D120" s="16" t="str">
        <f aca="false">PROPER(TRIM(Raw_Data!D120))</f>
        <v>Feature Request</v>
      </c>
      <c r="E120" s="16" t="str">
        <f aca="false">PROPER(TRIM(Raw_Data!E120))</f>
        <v>Medium</v>
      </c>
      <c r="F120" s="16" t="str">
        <f aca="false">PROPER(TRIM(Raw_Data!F120))</f>
        <v>Resolved</v>
      </c>
      <c r="G120" s="18" t="n">
        <f aca="false">IF(Raw_Data!G120="","",IF(Raw_Data!G120&gt;Brief!$C$17,"",Raw_Data!G120))</f>
        <v>22.5</v>
      </c>
      <c r="H120" s="16" t="n">
        <f aca="false">IF(Raw_Data!H120="","",Raw_Data!H120)</f>
        <v>3</v>
      </c>
      <c r="I120" s="16" t="str">
        <f aca="false">IF(COUNTIF($A$2:A120,A120)&gt;1,"Duplicate","OK")</f>
        <v>OK</v>
      </c>
      <c r="J120" s="16" t="str">
        <f aca="false">IF(ISNUMBER(Raw_Data!B120),"","Text date fixed")</f>
        <v/>
      </c>
      <c r="K120" s="16" t="str">
        <f aca="false">IF(Raw_Data!G120="",IF(F120="Resolved","Missing hours",""),IF(Raw_Data!G120&gt;Brief!$C$17,"Outlier removed",""))</f>
        <v/>
      </c>
      <c r="L120" s="16" t="n">
        <f aca="false">IF(I120="OK",1,0)</f>
        <v>1</v>
      </c>
    </row>
    <row r="121" customFormat="false" ht="15" hidden="false" customHeight="false" outlineLevel="0" collapsed="false">
      <c r="A121" s="16" t="str">
        <f aca="false">TRIM(Raw_Data!A121)</f>
        <v>TKT-1120</v>
      </c>
      <c r="B121" s="17" t="n">
        <f aca="false">IF(ISNUMBER(Raw_Data!B121),Raw_Data!B121,DATEVALUE(TRIM(Raw_Data!B121)))</f>
        <v>46287</v>
      </c>
      <c r="C121" s="16" t="str">
        <f aca="false">PROPER(TRIM(Raw_Data!C121))</f>
        <v>Maya Patel</v>
      </c>
      <c r="D121" s="16" t="str">
        <f aca="false">PROPER(TRIM(Raw_Data!D121))</f>
        <v>Billing</v>
      </c>
      <c r="E121" s="16" t="str">
        <f aca="false">PROPER(TRIM(Raw_Data!E121))</f>
        <v>Medium</v>
      </c>
      <c r="F121" s="16" t="str">
        <f aca="false">PROPER(TRIM(Raw_Data!F121))</f>
        <v>Resolved</v>
      </c>
      <c r="G121" s="18" t="n">
        <f aca="false">IF(Raw_Data!G121="","",IF(Raw_Data!G121&gt;Brief!$C$17,"",Raw_Data!G121))</f>
        <v>33.1</v>
      </c>
      <c r="H121" s="16" t="n">
        <f aca="false">IF(Raw_Data!H121="","",Raw_Data!H121)</f>
        <v>4</v>
      </c>
      <c r="I121" s="16" t="str">
        <f aca="false">IF(COUNTIF($A$2:A121,A121)&gt;1,"Duplicate","OK")</f>
        <v>OK</v>
      </c>
      <c r="J121" s="16" t="str">
        <f aca="false">IF(ISNUMBER(Raw_Data!B121),"","Text date fixed")</f>
        <v/>
      </c>
      <c r="K121" s="16" t="str">
        <f aca="false">IF(Raw_Data!G121="",IF(F121="Resolved","Missing hours",""),IF(Raw_Data!G121&gt;Brief!$C$17,"Outlier removed",""))</f>
        <v/>
      </c>
      <c r="L121" s="16" t="n">
        <f aca="false">IF(I121="OK",1,0)</f>
        <v>1</v>
      </c>
    </row>
    <row r="122" customFormat="false" ht="15" hidden="false" customHeight="false" outlineLevel="0" collapsed="false">
      <c r="A122" s="16" t="str">
        <f aca="false">TRIM(Raw_Data!A122)</f>
        <v>TKT-1121</v>
      </c>
      <c r="B122" s="17" t="n">
        <f aca="false">IF(ISNUMBER(Raw_Data!B122),Raw_Data!B122,DATEVALUE(TRIM(Raw_Data!B122)))</f>
        <v>46288</v>
      </c>
      <c r="C122" s="16" t="str">
        <f aca="false">PROPER(TRIM(Raw_Data!C122))</f>
        <v>Noah Kim</v>
      </c>
      <c r="D122" s="16" t="str">
        <f aca="false">PROPER(TRIM(Raw_Data!D122))</f>
        <v>Login Issue</v>
      </c>
      <c r="E122" s="16" t="str">
        <f aca="false">PROPER(TRIM(Raw_Data!E122))</f>
        <v>High</v>
      </c>
      <c r="F122" s="16" t="str">
        <f aca="false">PROPER(TRIM(Raw_Data!F122))</f>
        <v>Resolved</v>
      </c>
      <c r="G122" s="18" t="n">
        <f aca="false">IF(Raw_Data!G122="","",IF(Raw_Data!G122&gt;Brief!$C$17,"",Raw_Data!G122))</f>
        <v>4.6</v>
      </c>
      <c r="H122" s="16" t="str">
        <f aca="false">IF(Raw_Data!H122="","",Raw_Data!H122)</f>
        <v/>
      </c>
      <c r="I122" s="16" t="str">
        <f aca="false">IF(COUNTIF($A$2:A122,A122)&gt;1,"Duplicate","OK")</f>
        <v>OK</v>
      </c>
      <c r="J122" s="16" t="str">
        <f aca="false">IF(ISNUMBER(Raw_Data!B122),"","Text date fixed")</f>
        <v/>
      </c>
      <c r="K122" s="16" t="str">
        <f aca="false">IF(Raw_Data!G122="",IF(F122="Resolved","Missing hours",""),IF(Raw_Data!G122&gt;Brief!$C$17,"Outlier removed",""))</f>
        <v/>
      </c>
      <c r="L122" s="16" t="n">
        <f aca="false">IF(I122="OK",1,0)</f>
        <v>1</v>
      </c>
    </row>
    <row r="123" customFormat="false" ht="15" hidden="false" customHeight="false" outlineLevel="0" collapsed="false">
      <c r="A123" s="16" t="str">
        <f aca="false">TRIM(Raw_Data!A123)</f>
        <v>TKT-1122</v>
      </c>
      <c r="B123" s="17" t="n">
        <f aca="false">IF(ISNUMBER(Raw_Data!B123),Raw_Data!B123,DATEVALUE(TRIM(Raw_Data!B123)))</f>
        <v>46288</v>
      </c>
      <c r="C123" s="16" t="str">
        <f aca="false">PROPER(TRIM(Raw_Data!C123))</f>
        <v>Maya Patel</v>
      </c>
      <c r="D123" s="16" t="str">
        <f aca="false">PROPER(TRIM(Raw_Data!D123))</f>
        <v>Bug Report</v>
      </c>
      <c r="E123" s="16" t="str">
        <f aca="false">PROPER(TRIM(Raw_Data!E123))</f>
        <v>Medium</v>
      </c>
      <c r="F123" s="16" t="str">
        <f aca="false">PROPER(TRIM(Raw_Data!F123))</f>
        <v>Resolved</v>
      </c>
      <c r="G123" s="18" t="n">
        <f aca="false">IF(Raw_Data!G123="","",IF(Raw_Data!G123&gt;Brief!$C$17,"",Raw_Data!G123))</f>
        <v>15.8</v>
      </c>
      <c r="H123" s="16" t="n">
        <f aca="false">IF(Raw_Data!H123="","",Raw_Data!H123)</f>
        <v>4</v>
      </c>
      <c r="I123" s="16" t="str">
        <f aca="false">IF(COUNTIF($A$2:A123,A123)&gt;1,"Duplicate","OK")</f>
        <v>OK</v>
      </c>
      <c r="J123" s="16" t="str">
        <f aca="false">IF(ISNUMBER(Raw_Data!B123),"","Text date fixed")</f>
        <v/>
      </c>
      <c r="K123" s="16" t="str">
        <f aca="false">IF(Raw_Data!G123="",IF(F123="Resolved","Missing hours",""),IF(Raw_Data!G123&gt;Brief!$C$17,"Outlier removed",""))</f>
        <v/>
      </c>
      <c r="L123" s="16" t="n">
        <f aca="false">IF(I123="OK",1,0)</f>
        <v>1</v>
      </c>
    </row>
    <row r="124" customFormat="false" ht="15" hidden="false" customHeight="false" outlineLevel="0" collapsed="false">
      <c r="A124" s="16" t="str">
        <f aca="false">TRIM(Raw_Data!A124)</f>
        <v>TKT-1123</v>
      </c>
      <c r="B124" s="17" t="n">
        <f aca="false">IF(ISNUMBER(Raw_Data!B124),Raw_Data!B124,DATEVALUE(TRIM(Raw_Data!B124)))</f>
        <v>46288</v>
      </c>
      <c r="C124" s="16" t="str">
        <f aca="false">PROPER(TRIM(Raw_Data!C124))</f>
        <v>Noah Kim</v>
      </c>
      <c r="D124" s="16" t="str">
        <f aca="false">PROPER(TRIM(Raw_Data!D124))</f>
        <v>Billing</v>
      </c>
      <c r="E124" s="16" t="str">
        <f aca="false">PROPER(TRIM(Raw_Data!E124))</f>
        <v>Low</v>
      </c>
      <c r="F124" s="16" t="str">
        <f aca="false">PROPER(TRIM(Raw_Data!F124))</f>
        <v>Resolved</v>
      </c>
      <c r="G124" s="18" t="n">
        <f aca="false">IF(Raw_Data!G124="","",IF(Raw_Data!G124&gt;Brief!$C$17,"",Raw_Data!G124))</f>
        <v>30.4</v>
      </c>
      <c r="H124" s="16" t="str">
        <f aca="false">IF(Raw_Data!H124="","",Raw_Data!H124)</f>
        <v/>
      </c>
      <c r="I124" s="16" t="str">
        <f aca="false">IF(COUNTIF($A$2:A124,A124)&gt;1,"Duplicate","OK")</f>
        <v>OK</v>
      </c>
      <c r="J124" s="16" t="str">
        <f aca="false">IF(ISNUMBER(Raw_Data!B124),"","Text date fixed")</f>
        <v/>
      </c>
      <c r="K124" s="16" t="str">
        <f aca="false">IF(Raw_Data!G124="",IF(F124="Resolved","Missing hours",""),IF(Raw_Data!G124&gt;Brief!$C$17,"Outlier removed",""))</f>
        <v/>
      </c>
      <c r="L124" s="16" t="n">
        <f aca="false">IF(I124="OK",1,0)</f>
        <v>1</v>
      </c>
    </row>
    <row r="125" customFormat="false" ht="15" hidden="false" customHeight="false" outlineLevel="0" collapsed="false">
      <c r="A125" s="16" t="str">
        <f aca="false">TRIM(Raw_Data!A125)</f>
        <v>TKT-1124</v>
      </c>
      <c r="B125" s="17" t="n">
        <f aca="false">IF(ISNUMBER(Raw_Data!B125),Raw_Data!B125,DATEVALUE(TRIM(Raw_Data!B125)))</f>
        <v>46289</v>
      </c>
      <c r="C125" s="16" t="str">
        <f aca="false">PROPER(TRIM(Raw_Data!C125))</f>
        <v>Liam O'Brien</v>
      </c>
      <c r="D125" s="16" t="str">
        <f aca="false">PROPER(TRIM(Raw_Data!D125))</f>
        <v>Delivery</v>
      </c>
      <c r="E125" s="16" t="str">
        <f aca="false">PROPER(TRIM(Raw_Data!E125))</f>
        <v>High</v>
      </c>
      <c r="F125" s="16" t="str">
        <f aca="false">PROPER(TRIM(Raw_Data!F125))</f>
        <v>Resolved</v>
      </c>
      <c r="G125" s="18" t="n">
        <f aca="false">IF(Raw_Data!G125="","",IF(Raw_Data!G125&gt;Brief!$C$17,"",Raw_Data!G125))</f>
        <v>9.6</v>
      </c>
      <c r="H125" s="16" t="n">
        <f aca="false">IF(Raw_Data!H125="","",Raw_Data!H125)</f>
        <v>4</v>
      </c>
      <c r="I125" s="16" t="str">
        <f aca="false">IF(COUNTIF($A$2:A125,A125)&gt;1,"Duplicate","OK")</f>
        <v>OK</v>
      </c>
      <c r="J125" s="16" t="str">
        <f aca="false">IF(ISNUMBER(Raw_Data!B125),"","Text date fixed")</f>
        <v/>
      </c>
      <c r="K125" s="16" t="str">
        <f aca="false">IF(Raw_Data!G125="",IF(F125="Resolved","Missing hours",""),IF(Raw_Data!G125&gt;Brief!$C$17,"Outlier removed",""))</f>
        <v/>
      </c>
      <c r="L125" s="16" t="n">
        <f aca="false">IF(I125="OK",1,0)</f>
        <v>1</v>
      </c>
    </row>
    <row r="126" customFormat="false" ht="15" hidden="false" customHeight="false" outlineLevel="0" collapsed="false">
      <c r="A126" s="16" t="str">
        <f aca="false">TRIM(Raw_Data!A126)</f>
        <v>TKT-1125</v>
      </c>
      <c r="B126" s="17" t="n">
        <f aca="false">IF(ISNUMBER(Raw_Data!B126),Raw_Data!B126,DATEVALUE(TRIM(Raw_Data!B126)))</f>
        <v>46289</v>
      </c>
      <c r="C126" s="16" t="str">
        <f aca="false">PROPER(TRIM(Raw_Data!C126))</f>
        <v>Ava Johnson</v>
      </c>
      <c r="D126" s="16" t="str">
        <f aca="false">PROPER(TRIM(Raw_Data!D126))</f>
        <v>Delivery</v>
      </c>
      <c r="E126" s="16" t="str">
        <f aca="false">PROPER(TRIM(Raw_Data!E126))</f>
        <v>Low</v>
      </c>
      <c r="F126" s="16" t="str">
        <f aca="false">PROPER(TRIM(Raw_Data!F126))</f>
        <v>Open</v>
      </c>
      <c r="G126" s="18" t="str">
        <f aca="false">IF(Raw_Data!G126="","",IF(Raw_Data!G126&gt;Brief!$C$17,"",Raw_Data!G126))</f>
        <v/>
      </c>
      <c r="H126" s="16" t="str">
        <f aca="false">IF(Raw_Data!H126="","",Raw_Data!H126)</f>
        <v/>
      </c>
      <c r="I126" s="16" t="str">
        <f aca="false">IF(COUNTIF($A$2:A126,A126)&gt;1,"Duplicate","OK")</f>
        <v>OK</v>
      </c>
      <c r="J126" s="16" t="str">
        <f aca="false">IF(ISNUMBER(Raw_Data!B126),"","Text date fixed")</f>
        <v/>
      </c>
      <c r="K126" s="16" t="str">
        <f aca="false">IF(Raw_Data!G126="",IF(F126="Resolved","Missing hours",""),IF(Raw_Data!G126&gt;Brief!$C$17,"Outlier removed",""))</f>
        <v/>
      </c>
      <c r="L126" s="16" t="n">
        <f aca="false">IF(I126="OK",1,0)</f>
        <v>1</v>
      </c>
    </row>
    <row r="127" customFormat="false" ht="15" hidden="false" customHeight="false" outlineLevel="0" collapsed="false">
      <c r="A127" s="16" t="str">
        <f aca="false">TRIM(Raw_Data!A127)</f>
        <v>TKT-1126</v>
      </c>
      <c r="B127" s="17" t="n">
        <f aca="false">IF(ISNUMBER(Raw_Data!B127),Raw_Data!B127,DATEVALUE(TRIM(Raw_Data!B127)))</f>
        <v>46289</v>
      </c>
      <c r="C127" s="16" t="str">
        <f aca="false">PROPER(TRIM(Raw_Data!C127))</f>
        <v>Maya Patel</v>
      </c>
      <c r="D127" s="16" t="str">
        <f aca="false">PROPER(TRIM(Raw_Data!D127))</f>
        <v>Billing</v>
      </c>
      <c r="E127" s="16" t="str">
        <f aca="false">PROPER(TRIM(Raw_Data!E127))</f>
        <v>Low</v>
      </c>
      <c r="F127" s="16" t="str">
        <f aca="false">PROPER(TRIM(Raw_Data!F127))</f>
        <v>Resolved</v>
      </c>
      <c r="G127" s="18" t="n">
        <f aca="false">IF(Raw_Data!G127="","",IF(Raw_Data!G127&gt;Brief!$C$17,"",Raw_Data!G127))</f>
        <v>9.2</v>
      </c>
      <c r="H127" s="16" t="n">
        <f aca="false">IF(Raw_Data!H127="","",Raw_Data!H127)</f>
        <v>5</v>
      </c>
      <c r="I127" s="16" t="str">
        <f aca="false">IF(COUNTIF($A$2:A127,A127)&gt;1,"Duplicate","OK")</f>
        <v>OK</v>
      </c>
      <c r="J127" s="16" t="str">
        <f aca="false">IF(ISNUMBER(Raw_Data!B127),"","Text date fixed")</f>
        <v/>
      </c>
      <c r="K127" s="16" t="str">
        <f aca="false">IF(Raw_Data!G127="",IF(F127="Resolved","Missing hours",""),IF(Raw_Data!G127&gt;Brief!$C$17,"Outlier removed",""))</f>
        <v/>
      </c>
      <c r="L127" s="16" t="n">
        <f aca="false">IF(I127="OK",1,0)</f>
        <v>1</v>
      </c>
    </row>
    <row r="128" customFormat="false" ht="15" hidden="false" customHeight="false" outlineLevel="0" collapsed="false">
      <c r="A128" s="16" t="str">
        <f aca="false">TRIM(Raw_Data!A128)</f>
        <v>TKT-1127</v>
      </c>
      <c r="B128" s="17" t="n">
        <f aca="false">IF(ISNUMBER(Raw_Data!B128),Raw_Data!B128,DATEVALUE(TRIM(Raw_Data!B128)))</f>
        <v>46290</v>
      </c>
      <c r="C128" s="16" t="str">
        <f aca="false">PROPER(TRIM(Raw_Data!C128))</f>
        <v>Liam O'Brien</v>
      </c>
      <c r="D128" s="16" t="str">
        <f aca="false">PROPER(TRIM(Raw_Data!D128))</f>
        <v>Billing</v>
      </c>
      <c r="E128" s="16" t="str">
        <f aca="false">PROPER(TRIM(Raw_Data!E128))</f>
        <v>Low</v>
      </c>
      <c r="F128" s="16" t="str">
        <f aca="false">PROPER(TRIM(Raw_Data!F128))</f>
        <v>Resolved</v>
      </c>
      <c r="G128" s="18" t="n">
        <f aca="false">IF(Raw_Data!G128="","",IF(Raw_Data!G128&gt;Brief!$C$17,"",Raw_Data!G128))</f>
        <v>17.9</v>
      </c>
      <c r="H128" s="16" t="n">
        <f aca="false">IF(Raw_Data!H128="","",Raw_Data!H128)</f>
        <v>4</v>
      </c>
      <c r="I128" s="16" t="str">
        <f aca="false">IF(COUNTIF($A$2:A128,A128)&gt;1,"Duplicate","OK")</f>
        <v>OK</v>
      </c>
      <c r="J128" s="16" t="str">
        <f aca="false">IF(ISNUMBER(Raw_Data!B128),"","Text date fixed")</f>
        <v/>
      </c>
      <c r="K128" s="16" t="str">
        <f aca="false">IF(Raw_Data!G128="",IF(F128="Resolved","Missing hours",""),IF(Raw_Data!G128&gt;Brief!$C$17,"Outlier removed",""))</f>
        <v/>
      </c>
      <c r="L128" s="16" t="n">
        <f aca="false">IF(I128="OK",1,0)</f>
        <v>1</v>
      </c>
    </row>
    <row r="129" customFormat="false" ht="15" hidden="false" customHeight="false" outlineLevel="0" collapsed="false">
      <c r="A129" s="16" t="str">
        <f aca="false">TRIM(Raw_Data!A129)</f>
        <v>TKT-1128</v>
      </c>
      <c r="B129" s="17" t="n">
        <f aca="false">IF(ISNUMBER(Raw_Data!B129),Raw_Data!B129,DATEVALUE(TRIM(Raw_Data!B129)))</f>
        <v>46290</v>
      </c>
      <c r="C129" s="16" t="str">
        <f aca="false">PROPER(TRIM(Raw_Data!C129))</f>
        <v>Sofia Rossi</v>
      </c>
      <c r="D129" s="16" t="str">
        <f aca="false">PROPER(TRIM(Raw_Data!D129))</f>
        <v>Bug Report</v>
      </c>
      <c r="E129" s="16" t="str">
        <f aca="false">PROPER(TRIM(Raw_Data!E129))</f>
        <v>Urgent</v>
      </c>
      <c r="F129" s="16" t="str">
        <f aca="false">PROPER(TRIM(Raw_Data!F129))</f>
        <v>Resolved</v>
      </c>
      <c r="G129" s="18" t="str">
        <f aca="false">IF(Raw_Data!G129="","",IF(Raw_Data!G129&gt;Brief!$C$17,"",Raw_Data!G129))</f>
        <v/>
      </c>
      <c r="H129" s="16" t="str">
        <f aca="false">IF(Raw_Data!H129="","",Raw_Data!H129)</f>
        <v/>
      </c>
      <c r="I129" s="16" t="str">
        <f aca="false">IF(COUNTIF($A$2:A129,A129)&gt;1,"Duplicate","OK")</f>
        <v>OK</v>
      </c>
      <c r="J129" s="16" t="str">
        <f aca="false">IF(ISNUMBER(Raw_Data!B129),"","Text date fixed")</f>
        <v/>
      </c>
      <c r="K129" s="16" t="str">
        <f aca="false">IF(Raw_Data!G129="",IF(F129="Resolved","Missing hours",""),IF(Raw_Data!G129&gt;Brief!$C$17,"Outlier removed",""))</f>
        <v>Missing hours</v>
      </c>
      <c r="L129" s="16" t="n">
        <f aca="false">IF(I129="OK",1,0)</f>
        <v>1</v>
      </c>
    </row>
    <row r="130" customFormat="false" ht="15" hidden="false" customHeight="false" outlineLevel="0" collapsed="false">
      <c r="A130" s="16" t="str">
        <f aca="false">TRIM(Raw_Data!A130)</f>
        <v>TKT-1129</v>
      </c>
      <c r="B130" s="17" t="n">
        <f aca="false">IF(ISNUMBER(Raw_Data!B130),Raw_Data!B130,DATEVALUE(TRIM(Raw_Data!B130)))</f>
        <v>46290</v>
      </c>
      <c r="C130" s="16" t="str">
        <f aca="false">PROPER(TRIM(Raw_Data!C130))</f>
        <v>Noah Kim</v>
      </c>
      <c r="D130" s="16" t="str">
        <f aca="false">PROPER(TRIM(Raw_Data!D130))</f>
        <v>Delivery</v>
      </c>
      <c r="E130" s="16" t="str">
        <f aca="false">PROPER(TRIM(Raw_Data!E130))</f>
        <v>Medium</v>
      </c>
      <c r="F130" s="16" t="str">
        <f aca="false">PROPER(TRIM(Raw_Data!F130))</f>
        <v>Resolved</v>
      </c>
      <c r="G130" s="18" t="n">
        <f aca="false">IF(Raw_Data!G130="","",IF(Raw_Data!G130&gt;Brief!$C$17,"",Raw_Data!G130))</f>
        <v>14.2</v>
      </c>
      <c r="H130" s="16" t="str">
        <f aca="false">IF(Raw_Data!H130="","",Raw_Data!H130)</f>
        <v/>
      </c>
      <c r="I130" s="16" t="str">
        <f aca="false">IF(COUNTIF($A$2:A130,A130)&gt;1,"Duplicate","OK")</f>
        <v>OK</v>
      </c>
      <c r="J130" s="16" t="str">
        <f aca="false">IF(ISNUMBER(Raw_Data!B130),"","Text date fixed")</f>
        <v/>
      </c>
      <c r="K130" s="16" t="str">
        <f aca="false">IF(Raw_Data!G130="",IF(F130="Resolved","Missing hours",""),IF(Raw_Data!G130&gt;Brief!$C$17,"Outlier removed",""))</f>
        <v/>
      </c>
      <c r="L130" s="16" t="n">
        <f aca="false">IF(I130="OK",1,0)</f>
        <v>1</v>
      </c>
    </row>
    <row r="131" customFormat="false" ht="15" hidden="false" customHeight="false" outlineLevel="0" collapsed="false">
      <c r="A131" s="16" t="str">
        <f aca="false">TRIM(Raw_Data!A131)</f>
        <v>TKT-1130</v>
      </c>
      <c r="B131" s="17" t="n">
        <f aca="false">IF(ISNUMBER(Raw_Data!B131),Raw_Data!B131,DATEVALUE(TRIM(Raw_Data!B131)))</f>
        <v>46290</v>
      </c>
      <c r="C131" s="16" t="str">
        <f aca="false">PROPER(TRIM(Raw_Data!C131))</f>
        <v>Sofia Rossi</v>
      </c>
      <c r="D131" s="16" t="str">
        <f aca="false">PROPER(TRIM(Raw_Data!D131))</f>
        <v>Delivery</v>
      </c>
      <c r="E131" s="16" t="str">
        <f aca="false">PROPER(TRIM(Raw_Data!E131))</f>
        <v>Urgent</v>
      </c>
      <c r="F131" s="16" t="str">
        <f aca="false">PROPER(TRIM(Raw_Data!F131))</f>
        <v>Escalated</v>
      </c>
      <c r="G131" s="18" t="str">
        <f aca="false">IF(Raw_Data!G131="","",IF(Raw_Data!G131&gt;Brief!$C$17,"",Raw_Data!G131))</f>
        <v/>
      </c>
      <c r="H131" s="16" t="str">
        <f aca="false">IF(Raw_Data!H131="","",Raw_Data!H131)</f>
        <v/>
      </c>
      <c r="I131" s="16" t="str">
        <f aca="false">IF(COUNTIF($A$2:A131,A131)&gt;1,"Duplicate","OK")</f>
        <v>OK</v>
      </c>
      <c r="J131" s="16" t="str">
        <f aca="false">IF(ISNUMBER(Raw_Data!B131),"","Text date fixed")</f>
        <v/>
      </c>
      <c r="K131" s="16" t="str">
        <f aca="false">IF(Raw_Data!G131="",IF(F131="Resolved","Missing hours",""),IF(Raw_Data!G131&gt;Brief!$C$17,"Outlier removed",""))</f>
        <v/>
      </c>
      <c r="L131" s="16" t="n">
        <f aca="false">IF(I131="OK",1,0)</f>
        <v>1</v>
      </c>
    </row>
    <row r="132" customFormat="false" ht="15" hidden="false" customHeight="false" outlineLevel="0" collapsed="false">
      <c r="A132" s="16" t="str">
        <f aca="false">TRIM(Raw_Data!A132)</f>
        <v>TKT-1131</v>
      </c>
      <c r="B132" s="17" t="n">
        <f aca="false">IF(ISNUMBER(Raw_Data!B132),Raw_Data!B132,DATEVALUE(TRIM(Raw_Data!B132)))</f>
        <v>46290</v>
      </c>
      <c r="C132" s="16" t="str">
        <f aca="false">PROPER(TRIM(Raw_Data!C132))</f>
        <v>Sofia Rossi</v>
      </c>
      <c r="D132" s="16" t="str">
        <f aca="false">PROPER(TRIM(Raw_Data!D132))</f>
        <v>Bug Report</v>
      </c>
      <c r="E132" s="16" t="str">
        <f aca="false">PROPER(TRIM(Raw_Data!E132))</f>
        <v>Low</v>
      </c>
      <c r="F132" s="16" t="str">
        <f aca="false">PROPER(TRIM(Raw_Data!F132))</f>
        <v>Resolved</v>
      </c>
      <c r="G132" s="18" t="str">
        <f aca="false">IF(Raw_Data!G132="","",IF(Raw_Data!G132&gt;Brief!$C$17,"",Raw_Data!G132))</f>
        <v/>
      </c>
      <c r="H132" s="16" t="str">
        <f aca="false">IF(Raw_Data!H132="","",Raw_Data!H132)</f>
        <v/>
      </c>
      <c r="I132" s="16" t="str">
        <f aca="false">IF(COUNTIF($A$2:A132,A132)&gt;1,"Duplicate","OK")</f>
        <v>OK</v>
      </c>
      <c r="J132" s="16" t="str">
        <f aca="false">IF(ISNUMBER(Raw_Data!B132),"","Text date fixed")</f>
        <v/>
      </c>
      <c r="K132" s="16" t="str">
        <f aca="false">IF(Raw_Data!G132="",IF(F132="Resolved","Missing hours",""),IF(Raw_Data!G132&gt;Brief!$C$17,"Outlier removed",""))</f>
        <v>Missing hours</v>
      </c>
      <c r="L132" s="16" t="n">
        <f aca="false">IF(I132="OK",1,0)</f>
        <v>1</v>
      </c>
    </row>
    <row r="133" customFormat="false" ht="15" hidden="false" customHeight="false" outlineLevel="0" collapsed="false">
      <c r="A133" s="16" t="str">
        <f aca="false">TRIM(Raw_Data!A133)</f>
        <v>TKT-1132</v>
      </c>
      <c r="B133" s="17" t="n">
        <f aca="false">IF(ISNUMBER(Raw_Data!B133),Raw_Data!B133,DATEVALUE(TRIM(Raw_Data!B133)))</f>
        <v>46290</v>
      </c>
      <c r="C133" s="16" t="str">
        <f aca="false">PROPER(TRIM(Raw_Data!C133))</f>
        <v>Sofia Rossi</v>
      </c>
      <c r="D133" s="16" t="str">
        <f aca="false">PROPER(TRIM(Raw_Data!D133))</f>
        <v>Billing</v>
      </c>
      <c r="E133" s="16" t="str">
        <f aca="false">PROPER(TRIM(Raw_Data!E133))</f>
        <v>Urgent</v>
      </c>
      <c r="F133" s="16" t="str">
        <f aca="false">PROPER(TRIM(Raw_Data!F133))</f>
        <v>Open</v>
      </c>
      <c r="G133" s="18" t="str">
        <f aca="false">IF(Raw_Data!G133="","",IF(Raw_Data!G133&gt;Brief!$C$17,"",Raw_Data!G133))</f>
        <v/>
      </c>
      <c r="H133" s="16" t="str">
        <f aca="false">IF(Raw_Data!H133="","",Raw_Data!H133)</f>
        <v/>
      </c>
      <c r="I133" s="16" t="str">
        <f aca="false">IF(COUNTIF($A$2:A133,A133)&gt;1,"Duplicate","OK")</f>
        <v>OK</v>
      </c>
      <c r="J133" s="16" t="str">
        <f aca="false">IF(ISNUMBER(Raw_Data!B133),"","Text date fixed")</f>
        <v/>
      </c>
      <c r="K133" s="16" t="str">
        <f aca="false">IF(Raw_Data!G133="",IF(F133="Resolved","Missing hours",""),IF(Raw_Data!G133&gt;Brief!$C$17,"Outlier removed",""))</f>
        <v/>
      </c>
      <c r="L133" s="16" t="n">
        <f aca="false">IF(I133="OK",1,0)</f>
        <v>1</v>
      </c>
    </row>
    <row r="134" customFormat="false" ht="15" hidden="false" customHeight="false" outlineLevel="0" collapsed="false">
      <c r="A134" s="16" t="str">
        <f aca="false">TRIM(Raw_Data!A134)</f>
        <v>TKT-1133</v>
      </c>
      <c r="B134" s="17" t="n">
        <f aca="false">IF(ISNUMBER(Raw_Data!B134),Raw_Data!B134,DATEVALUE(TRIM(Raw_Data!B134)))</f>
        <v>46291</v>
      </c>
      <c r="C134" s="16" t="str">
        <f aca="false">PROPER(TRIM(Raw_Data!C134))</f>
        <v>Maya Patel</v>
      </c>
      <c r="D134" s="16" t="str">
        <f aca="false">PROPER(TRIM(Raw_Data!D134))</f>
        <v>Delivery</v>
      </c>
      <c r="E134" s="16" t="str">
        <f aca="false">PROPER(TRIM(Raw_Data!E134))</f>
        <v>Low</v>
      </c>
      <c r="F134" s="16" t="str">
        <f aca="false">PROPER(TRIM(Raw_Data!F134))</f>
        <v>Resolved</v>
      </c>
      <c r="G134" s="18" t="n">
        <f aca="false">IF(Raw_Data!G134="","",IF(Raw_Data!G134&gt;Brief!$C$17,"",Raw_Data!G134))</f>
        <v>9.1</v>
      </c>
      <c r="H134" s="16" t="n">
        <f aca="false">IF(Raw_Data!H134="","",Raw_Data!H134)</f>
        <v>5</v>
      </c>
      <c r="I134" s="16" t="str">
        <f aca="false">IF(COUNTIF($A$2:A134,A134)&gt;1,"Duplicate","OK")</f>
        <v>OK</v>
      </c>
      <c r="J134" s="16" t="str">
        <f aca="false">IF(ISNUMBER(Raw_Data!B134),"","Text date fixed")</f>
        <v/>
      </c>
      <c r="K134" s="16" t="str">
        <f aca="false">IF(Raw_Data!G134="",IF(F134="Resolved","Missing hours",""),IF(Raw_Data!G134&gt;Brief!$C$17,"Outlier removed",""))</f>
        <v/>
      </c>
      <c r="L134" s="16" t="n">
        <f aca="false">IF(I134="OK",1,0)</f>
        <v>1</v>
      </c>
    </row>
    <row r="135" customFormat="false" ht="15" hidden="false" customHeight="false" outlineLevel="0" collapsed="false">
      <c r="A135" s="16" t="str">
        <f aca="false">TRIM(Raw_Data!A135)</f>
        <v>TKT-1134</v>
      </c>
      <c r="B135" s="17" t="n">
        <f aca="false">IF(ISNUMBER(Raw_Data!B135),Raw_Data!B135,DATEVALUE(TRIM(Raw_Data!B135)))</f>
        <v>46291</v>
      </c>
      <c r="C135" s="16" t="str">
        <f aca="false">PROPER(TRIM(Raw_Data!C135))</f>
        <v>Noah Kim</v>
      </c>
      <c r="D135" s="16" t="str">
        <f aca="false">PROPER(TRIM(Raw_Data!D135))</f>
        <v>Login Issue</v>
      </c>
      <c r="E135" s="16" t="str">
        <f aca="false">PROPER(TRIM(Raw_Data!E135))</f>
        <v>Low</v>
      </c>
      <c r="F135" s="16" t="str">
        <f aca="false">PROPER(TRIM(Raw_Data!F135))</f>
        <v>Open</v>
      </c>
      <c r="G135" s="18" t="str">
        <f aca="false">IF(Raw_Data!G135="","",IF(Raw_Data!G135&gt;Brief!$C$17,"",Raw_Data!G135))</f>
        <v/>
      </c>
      <c r="H135" s="16" t="str">
        <f aca="false">IF(Raw_Data!H135="","",Raw_Data!H135)</f>
        <v/>
      </c>
      <c r="I135" s="16" t="str">
        <f aca="false">IF(COUNTIF($A$2:A135,A135)&gt;1,"Duplicate","OK")</f>
        <v>OK</v>
      </c>
      <c r="J135" s="16" t="str">
        <f aca="false">IF(ISNUMBER(Raw_Data!B135),"","Text date fixed")</f>
        <v/>
      </c>
      <c r="K135" s="16" t="str">
        <f aca="false">IF(Raw_Data!G135="",IF(F135="Resolved","Missing hours",""),IF(Raw_Data!G135&gt;Brief!$C$17,"Outlier removed",""))</f>
        <v/>
      </c>
      <c r="L135" s="16" t="n">
        <f aca="false">IF(I135="OK",1,0)</f>
        <v>1</v>
      </c>
    </row>
    <row r="136" customFormat="false" ht="15" hidden="false" customHeight="false" outlineLevel="0" collapsed="false">
      <c r="A136" s="16" t="str">
        <f aca="false">TRIM(Raw_Data!A136)</f>
        <v>TKT-1135</v>
      </c>
      <c r="B136" s="17" t="n">
        <f aca="false">IF(ISNUMBER(Raw_Data!B136),Raw_Data!B136,DATEVALUE(TRIM(Raw_Data!B136)))</f>
        <v>46292</v>
      </c>
      <c r="C136" s="16" t="str">
        <f aca="false">PROPER(TRIM(Raw_Data!C136))</f>
        <v>Ava Johnson</v>
      </c>
      <c r="D136" s="16" t="str">
        <f aca="false">PROPER(TRIM(Raw_Data!D136))</f>
        <v>Login Issue</v>
      </c>
      <c r="E136" s="16" t="str">
        <f aca="false">PROPER(TRIM(Raw_Data!E136))</f>
        <v>High</v>
      </c>
      <c r="F136" s="16" t="str">
        <f aca="false">PROPER(TRIM(Raw_Data!F136))</f>
        <v>Resolved</v>
      </c>
      <c r="G136" s="18" t="n">
        <f aca="false">IF(Raw_Data!G136="","",IF(Raw_Data!G136&gt;Brief!$C$17,"",Raw_Data!G136))</f>
        <v>10.9</v>
      </c>
      <c r="H136" s="16" t="n">
        <f aca="false">IF(Raw_Data!H136="","",Raw_Data!H136)</f>
        <v>4</v>
      </c>
      <c r="I136" s="16" t="str">
        <f aca="false">IF(COUNTIF($A$2:A136,A136)&gt;1,"Duplicate","OK")</f>
        <v>OK</v>
      </c>
      <c r="J136" s="16" t="str">
        <f aca="false">IF(ISNUMBER(Raw_Data!B136),"","Text date fixed")</f>
        <v/>
      </c>
      <c r="K136" s="16" t="str">
        <f aca="false">IF(Raw_Data!G136="",IF(F136="Resolved","Missing hours",""),IF(Raw_Data!G136&gt;Brief!$C$17,"Outlier removed",""))</f>
        <v/>
      </c>
      <c r="L136" s="16" t="n">
        <f aca="false">IF(I136="OK",1,0)</f>
        <v>1</v>
      </c>
    </row>
    <row r="137" customFormat="false" ht="15" hidden="false" customHeight="false" outlineLevel="0" collapsed="false">
      <c r="A137" s="16" t="str">
        <f aca="false">TRIM(Raw_Data!A137)</f>
        <v>TKT-1136</v>
      </c>
      <c r="B137" s="17" t="n">
        <f aca="false">IF(ISNUMBER(Raw_Data!B137),Raw_Data!B137,DATEVALUE(TRIM(Raw_Data!B137)))</f>
        <v>46292</v>
      </c>
      <c r="C137" s="16" t="str">
        <f aca="false">PROPER(TRIM(Raw_Data!C137))</f>
        <v>Ava Johnson</v>
      </c>
      <c r="D137" s="16" t="str">
        <f aca="false">PROPER(TRIM(Raw_Data!D137))</f>
        <v>Delivery</v>
      </c>
      <c r="E137" s="16" t="str">
        <f aca="false">PROPER(TRIM(Raw_Data!E137))</f>
        <v>High</v>
      </c>
      <c r="F137" s="16" t="str">
        <f aca="false">PROPER(TRIM(Raw_Data!F137))</f>
        <v>Resolved</v>
      </c>
      <c r="G137" s="18" t="n">
        <f aca="false">IF(Raw_Data!G137="","",IF(Raw_Data!G137&gt;Brief!$C$17,"",Raw_Data!G137))</f>
        <v>7.5</v>
      </c>
      <c r="H137" s="16" t="str">
        <f aca="false">IF(Raw_Data!H137="","",Raw_Data!H137)</f>
        <v/>
      </c>
      <c r="I137" s="16" t="str">
        <f aca="false">IF(COUNTIF($A$2:A137,A137)&gt;1,"Duplicate","OK")</f>
        <v>OK</v>
      </c>
      <c r="J137" s="16" t="str">
        <f aca="false">IF(ISNUMBER(Raw_Data!B137),"","Text date fixed")</f>
        <v/>
      </c>
      <c r="K137" s="16" t="str">
        <f aca="false">IF(Raw_Data!G137="",IF(F137="Resolved","Missing hours",""),IF(Raw_Data!G137&gt;Brief!$C$17,"Outlier removed",""))</f>
        <v/>
      </c>
      <c r="L137" s="16" t="n">
        <f aca="false">IF(I137="OK",1,0)</f>
        <v>1</v>
      </c>
    </row>
    <row r="138" customFormat="false" ht="15" hidden="false" customHeight="false" outlineLevel="0" collapsed="false">
      <c r="A138" s="16" t="str">
        <f aca="false">TRIM(Raw_Data!A138)</f>
        <v>TKT-1137</v>
      </c>
      <c r="B138" s="17" t="n">
        <f aca="false">IF(ISNUMBER(Raw_Data!B138),Raw_Data!B138,DATEVALUE(TRIM(Raw_Data!B138)))</f>
        <v>46292</v>
      </c>
      <c r="C138" s="16" t="str">
        <f aca="false">PROPER(TRIM(Raw_Data!C138))</f>
        <v>Ava Johnson</v>
      </c>
      <c r="D138" s="16" t="str">
        <f aca="false">PROPER(TRIM(Raw_Data!D138))</f>
        <v>Feature Request</v>
      </c>
      <c r="E138" s="16" t="str">
        <f aca="false">PROPER(TRIM(Raw_Data!E138))</f>
        <v>Medium</v>
      </c>
      <c r="F138" s="16" t="str">
        <f aca="false">PROPER(TRIM(Raw_Data!F138))</f>
        <v>Resolved</v>
      </c>
      <c r="G138" s="18" t="n">
        <f aca="false">IF(Raw_Data!G138="","",IF(Raw_Data!G138&gt;Brief!$C$17,"",Raw_Data!G138))</f>
        <v>16.5</v>
      </c>
      <c r="H138" s="16" t="n">
        <f aca="false">IF(Raw_Data!H138="","",Raw_Data!H138)</f>
        <v>4</v>
      </c>
      <c r="I138" s="16" t="str">
        <f aca="false">IF(COUNTIF($A$2:A138,A138)&gt;1,"Duplicate","OK")</f>
        <v>OK</v>
      </c>
      <c r="J138" s="16" t="str">
        <f aca="false">IF(ISNUMBER(Raw_Data!B138),"","Text date fixed")</f>
        <v/>
      </c>
      <c r="K138" s="16" t="str">
        <f aca="false">IF(Raw_Data!G138="",IF(F138="Resolved","Missing hours",""),IF(Raw_Data!G138&gt;Brief!$C$17,"Outlier removed",""))</f>
        <v/>
      </c>
      <c r="L138" s="16" t="n">
        <f aca="false">IF(I138="OK",1,0)</f>
        <v>1</v>
      </c>
    </row>
    <row r="139" customFormat="false" ht="15" hidden="false" customHeight="false" outlineLevel="0" collapsed="false">
      <c r="A139" s="16" t="str">
        <f aca="false">TRIM(Raw_Data!A139)</f>
        <v>TKT-1138</v>
      </c>
      <c r="B139" s="17" t="n">
        <f aca="false">IF(ISNUMBER(Raw_Data!B139),Raw_Data!B139,DATEVALUE(TRIM(Raw_Data!B139)))</f>
        <v>46292</v>
      </c>
      <c r="C139" s="16" t="str">
        <f aca="false">PROPER(TRIM(Raw_Data!C139))</f>
        <v>Maya Patel</v>
      </c>
      <c r="D139" s="16" t="str">
        <f aca="false">PROPER(TRIM(Raw_Data!D139))</f>
        <v>Billing</v>
      </c>
      <c r="E139" s="16" t="str">
        <f aca="false">PROPER(TRIM(Raw_Data!E139))</f>
        <v>Medium</v>
      </c>
      <c r="F139" s="16" t="str">
        <f aca="false">PROPER(TRIM(Raw_Data!F139))</f>
        <v>Resolved</v>
      </c>
      <c r="G139" s="18" t="n">
        <f aca="false">IF(Raw_Data!G139="","",IF(Raw_Data!G139&gt;Brief!$C$17,"",Raw_Data!G139))</f>
        <v>11.3</v>
      </c>
      <c r="H139" s="16" t="n">
        <f aca="false">IF(Raw_Data!H139="","",Raw_Data!H139)</f>
        <v>5</v>
      </c>
      <c r="I139" s="16" t="str">
        <f aca="false">IF(COUNTIF($A$2:A139,A139)&gt;1,"Duplicate","OK")</f>
        <v>OK</v>
      </c>
      <c r="J139" s="16" t="str">
        <f aca="false">IF(ISNUMBER(Raw_Data!B139),"","Text date fixed")</f>
        <v/>
      </c>
      <c r="K139" s="16" t="str">
        <f aca="false">IF(Raw_Data!G139="",IF(F139="Resolved","Missing hours",""),IF(Raw_Data!G139&gt;Brief!$C$17,"Outlier removed",""))</f>
        <v/>
      </c>
      <c r="L139" s="16" t="n">
        <f aca="false">IF(I139="OK",1,0)</f>
        <v>1</v>
      </c>
    </row>
    <row r="140" customFormat="false" ht="15" hidden="false" customHeight="false" outlineLevel="0" collapsed="false">
      <c r="A140" s="16" t="str">
        <f aca="false">TRIM(Raw_Data!A140)</f>
        <v>TKT-1139</v>
      </c>
      <c r="B140" s="17" t="n">
        <f aca="false">IF(ISNUMBER(Raw_Data!B140),Raw_Data!B140,DATEVALUE(TRIM(Raw_Data!B140)))</f>
        <v>46292</v>
      </c>
      <c r="C140" s="16" t="str">
        <f aca="false">PROPER(TRIM(Raw_Data!C140))</f>
        <v>Maya Patel</v>
      </c>
      <c r="D140" s="16" t="str">
        <f aca="false">PROPER(TRIM(Raw_Data!D140))</f>
        <v>Delivery</v>
      </c>
      <c r="E140" s="16" t="str">
        <f aca="false">PROPER(TRIM(Raw_Data!E140))</f>
        <v>Medium</v>
      </c>
      <c r="F140" s="16" t="str">
        <f aca="false">PROPER(TRIM(Raw_Data!F140))</f>
        <v>Resolved</v>
      </c>
      <c r="G140" s="18" t="n">
        <f aca="false">IF(Raw_Data!G140="","",IF(Raw_Data!G140&gt;Brief!$C$17,"",Raw_Data!G140))</f>
        <v>19.8</v>
      </c>
      <c r="H140" s="16" t="n">
        <f aca="false">IF(Raw_Data!H140="","",Raw_Data!H140)</f>
        <v>4</v>
      </c>
      <c r="I140" s="16" t="str">
        <f aca="false">IF(COUNTIF($A$2:A140,A140)&gt;1,"Duplicate","OK")</f>
        <v>OK</v>
      </c>
      <c r="J140" s="16" t="str">
        <f aca="false">IF(ISNUMBER(Raw_Data!B140),"","Text date fixed")</f>
        <v/>
      </c>
      <c r="K140" s="16" t="str">
        <f aca="false">IF(Raw_Data!G140="",IF(F140="Resolved","Missing hours",""),IF(Raw_Data!G140&gt;Brief!$C$17,"Outlier removed",""))</f>
        <v/>
      </c>
      <c r="L140" s="16" t="n">
        <f aca="false">IF(I140="OK",1,0)</f>
        <v>1</v>
      </c>
    </row>
    <row r="141" customFormat="false" ht="15" hidden="false" customHeight="false" outlineLevel="0" collapsed="false">
      <c r="A141" s="16" t="str">
        <f aca="false">TRIM(Raw_Data!A141)</f>
        <v>TKT-1140</v>
      </c>
      <c r="B141" s="17" t="n">
        <f aca="false">IF(ISNUMBER(Raw_Data!B141),Raw_Data!B141,DATEVALUE(TRIM(Raw_Data!B141)))</f>
        <v>46293</v>
      </c>
      <c r="C141" s="16" t="str">
        <f aca="false">PROPER(TRIM(Raw_Data!C141))</f>
        <v>Noah Kim</v>
      </c>
      <c r="D141" s="16" t="str">
        <f aca="false">PROPER(TRIM(Raw_Data!D141))</f>
        <v>Billing</v>
      </c>
      <c r="E141" s="16" t="str">
        <f aca="false">PROPER(TRIM(Raw_Data!E141))</f>
        <v>Medium</v>
      </c>
      <c r="F141" s="16" t="str">
        <f aca="false">PROPER(TRIM(Raw_Data!F141))</f>
        <v>Escalated</v>
      </c>
      <c r="G141" s="18" t="str">
        <f aca="false">IF(Raw_Data!G141="","",IF(Raw_Data!G141&gt;Brief!$C$17,"",Raw_Data!G141))</f>
        <v/>
      </c>
      <c r="H141" s="16" t="str">
        <f aca="false">IF(Raw_Data!H141="","",Raw_Data!H141)</f>
        <v/>
      </c>
      <c r="I141" s="16" t="str">
        <f aca="false">IF(COUNTIF($A$2:A141,A141)&gt;1,"Duplicate","OK")</f>
        <v>OK</v>
      </c>
      <c r="J141" s="16" t="str">
        <f aca="false">IF(ISNUMBER(Raw_Data!B141),"","Text date fixed")</f>
        <v/>
      </c>
      <c r="K141" s="16" t="str">
        <f aca="false">IF(Raw_Data!G141="",IF(F141="Resolved","Missing hours",""),IF(Raw_Data!G141&gt;Brief!$C$17,"Outlier removed",""))</f>
        <v/>
      </c>
      <c r="L141" s="16" t="n">
        <f aca="false">IF(I141="OK",1,0)</f>
        <v>1</v>
      </c>
    </row>
    <row r="142" customFormat="false" ht="15" hidden="false" customHeight="false" outlineLevel="0" collapsed="false">
      <c r="A142" s="16" t="str">
        <f aca="false">TRIM(Raw_Data!A142)</f>
        <v>TKT-1141</v>
      </c>
      <c r="B142" s="17" t="n">
        <f aca="false">IF(ISNUMBER(Raw_Data!B142),Raw_Data!B142,DATEVALUE(TRIM(Raw_Data!B142)))</f>
        <v>46293</v>
      </c>
      <c r="C142" s="16" t="str">
        <f aca="false">PROPER(TRIM(Raw_Data!C142))</f>
        <v>Maya Patel</v>
      </c>
      <c r="D142" s="16" t="str">
        <f aca="false">PROPER(TRIM(Raw_Data!D142))</f>
        <v>Bug Report</v>
      </c>
      <c r="E142" s="16" t="str">
        <f aca="false">PROPER(TRIM(Raw_Data!E142))</f>
        <v>Medium</v>
      </c>
      <c r="F142" s="16" t="str">
        <f aca="false">PROPER(TRIM(Raw_Data!F142))</f>
        <v>Resolved</v>
      </c>
      <c r="G142" s="18" t="n">
        <f aca="false">IF(Raw_Data!G142="","",IF(Raw_Data!G142&gt;Brief!$C$17,"",Raw_Data!G142))</f>
        <v>33.4</v>
      </c>
      <c r="H142" s="16" t="str">
        <f aca="false">IF(Raw_Data!H142="","",Raw_Data!H142)</f>
        <v/>
      </c>
      <c r="I142" s="16" t="str">
        <f aca="false">IF(COUNTIF($A$2:A142,A142)&gt;1,"Duplicate","OK")</f>
        <v>OK</v>
      </c>
      <c r="J142" s="16" t="str">
        <f aca="false">IF(ISNUMBER(Raw_Data!B142),"","Text date fixed")</f>
        <v/>
      </c>
      <c r="K142" s="16" t="str">
        <f aca="false">IF(Raw_Data!G142="",IF(F142="Resolved","Missing hours",""),IF(Raw_Data!G142&gt;Brief!$C$17,"Outlier removed",""))</f>
        <v/>
      </c>
      <c r="L142" s="16" t="n">
        <f aca="false">IF(I142="OK",1,0)</f>
        <v>1</v>
      </c>
    </row>
    <row r="143" customFormat="false" ht="15" hidden="false" customHeight="false" outlineLevel="0" collapsed="false">
      <c r="A143" s="16" t="str">
        <f aca="false">TRIM(Raw_Data!A143)</f>
        <v>TKT-1142</v>
      </c>
      <c r="B143" s="17" t="n">
        <f aca="false">IF(ISNUMBER(Raw_Data!B143),Raw_Data!B143,DATEVALUE(TRIM(Raw_Data!B143)))</f>
        <v>46293</v>
      </c>
      <c r="C143" s="16" t="str">
        <f aca="false">PROPER(TRIM(Raw_Data!C143))</f>
        <v>Noah Kim</v>
      </c>
      <c r="D143" s="16" t="str">
        <f aca="false">PROPER(TRIM(Raw_Data!D143))</f>
        <v>Billing</v>
      </c>
      <c r="E143" s="16" t="str">
        <f aca="false">PROPER(TRIM(Raw_Data!E143))</f>
        <v>Medium</v>
      </c>
      <c r="F143" s="16" t="str">
        <f aca="false">PROPER(TRIM(Raw_Data!F143))</f>
        <v>Resolved</v>
      </c>
      <c r="G143" s="18" t="n">
        <f aca="false">IF(Raw_Data!G143="","",IF(Raw_Data!G143&gt;Brief!$C$17,"",Raw_Data!G143))</f>
        <v>14.6</v>
      </c>
      <c r="H143" s="16" t="n">
        <f aca="false">IF(Raw_Data!H143="","",Raw_Data!H143)</f>
        <v>3</v>
      </c>
      <c r="I143" s="16" t="str">
        <f aca="false">IF(COUNTIF($A$2:A143,A143)&gt;1,"Duplicate","OK")</f>
        <v>OK</v>
      </c>
      <c r="J143" s="16" t="str">
        <f aca="false">IF(ISNUMBER(Raw_Data!B143),"","Text date fixed")</f>
        <v/>
      </c>
      <c r="K143" s="16" t="str">
        <f aca="false">IF(Raw_Data!G143="",IF(F143="Resolved","Missing hours",""),IF(Raw_Data!G143&gt;Brief!$C$17,"Outlier removed",""))</f>
        <v/>
      </c>
      <c r="L143" s="16" t="n">
        <f aca="false">IF(I143="OK",1,0)</f>
        <v>1</v>
      </c>
    </row>
    <row r="144" customFormat="false" ht="15" hidden="false" customHeight="false" outlineLevel="0" collapsed="false">
      <c r="A144" s="16" t="str">
        <f aca="false">TRIM(Raw_Data!A144)</f>
        <v>TKT-1143</v>
      </c>
      <c r="B144" s="17" t="n">
        <f aca="false">IF(ISNUMBER(Raw_Data!B144),Raw_Data!B144,DATEVALUE(TRIM(Raw_Data!B144)))</f>
        <v>46294</v>
      </c>
      <c r="C144" s="16" t="str">
        <f aca="false">PROPER(TRIM(Raw_Data!C144))</f>
        <v>Maya Patel</v>
      </c>
      <c r="D144" s="16" t="str">
        <f aca="false">PROPER(TRIM(Raw_Data!D144))</f>
        <v>Bug Report</v>
      </c>
      <c r="E144" s="16" t="str">
        <f aca="false">PROPER(TRIM(Raw_Data!E144))</f>
        <v>Low</v>
      </c>
      <c r="F144" s="16" t="str">
        <f aca="false">PROPER(TRIM(Raw_Data!F144))</f>
        <v>Resolved</v>
      </c>
      <c r="G144" s="18" t="n">
        <f aca="false">IF(Raw_Data!G144="","",IF(Raw_Data!G144&gt;Brief!$C$17,"",Raw_Data!G144))</f>
        <v>22.6</v>
      </c>
      <c r="H144" s="16" t="n">
        <f aca="false">IF(Raw_Data!H144="","",Raw_Data!H144)</f>
        <v>4</v>
      </c>
      <c r="I144" s="16" t="str">
        <f aca="false">IF(COUNTIF($A$2:A144,A144)&gt;1,"Duplicate","OK")</f>
        <v>OK</v>
      </c>
      <c r="J144" s="16" t="str">
        <f aca="false">IF(ISNUMBER(Raw_Data!B144),"","Text date fixed")</f>
        <v/>
      </c>
      <c r="K144" s="16" t="str">
        <f aca="false">IF(Raw_Data!G144="",IF(F144="Resolved","Missing hours",""),IF(Raw_Data!G144&gt;Brief!$C$17,"Outlier removed",""))</f>
        <v/>
      </c>
      <c r="L144" s="16" t="n">
        <f aca="false">IF(I144="OK",1,0)</f>
        <v>1</v>
      </c>
    </row>
    <row r="145" customFormat="false" ht="15" hidden="false" customHeight="false" outlineLevel="0" collapsed="false">
      <c r="A145" s="16" t="str">
        <f aca="false">TRIM(Raw_Data!A145)</f>
        <v>TKT-1144</v>
      </c>
      <c r="B145" s="17" t="n">
        <f aca="false">IF(ISNUMBER(Raw_Data!B145),Raw_Data!B145,DATEVALUE(TRIM(Raw_Data!B145)))</f>
        <v>46294</v>
      </c>
      <c r="C145" s="16" t="str">
        <f aca="false">PROPER(TRIM(Raw_Data!C145))</f>
        <v>Maya Patel</v>
      </c>
      <c r="D145" s="16" t="str">
        <f aca="false">PROPER(TRIM(Raw_Data!D145))</f>
        <v>Login Issue</v>
      </c>
      <c r="E145" s="16" t="str">
        <f aca="false">PROPER(TRIM(Raw_Data!E145))</f>
        <v>High</v>
      </c>
      <c r="F145" s="16" t="str">
        <f aca="false">PROPER(TRIM(Raw_Data!F145))</f>
        <v>Resolved</v>
      </c>
      <c r="G145" s="18" t="n">
        <f aca="false">IF(Raw_Data!G145="","",IF(Raw_Data!G145&gt;Brief!$C$17,"",Raw_Data!G145))</f>
        <v>8.9</v>
      </c>
      <c r="H145" s="16" t="n">
        <f aca="false">IF(Raw_Data!H145="","",Raw_Data!H145)</f>
        <v>4</v>
      </c>
      <c r="I145" s="16" t="str">
        <f aca="false">IF(COUNTIF($A$2:A145,A145)&gt;1,"Duplicate","OK")</f>
        <v>OK</v>
      </c>
      <c r="J145" s="16" t="str">
        <f aca="false">IF(ISNUMBER(Raw_Data!B145),"","Text date fixed")</f>
        <v/>
      </c>
      <c r="K145" s="16" t="str">
        <f aca="false">IF(Raw_Data!G145="",IF(F145="Resolved","Missing hours",""),IF(Raw_Data!G145&gt;Brief!$C$17,"Outlier removed",""))</f>
        <v/>
      </c>
      <c r="L145" s="16" t="n">
        <f aca="false">IF(I145="OK",1,0)</f>
        <v>1</v>
      </c>
    </row>
    <row r="146" customFormat="false" ht="15" hidden="false" customHeight="false" outlineLevel="0" collapsed="false">
      <c r="A146" s="16" t="str">
        <f aca="false">TRIM(Raw_Data!A146)</f>
        <v>TKT-1145</v>
      </c>
      <c r="B146" s="17" t="n">
        <f aca="false">IF(ISNUMBER(Raw_Data!B146),Raw_Data!B146,DATEVALUE(TRIM(Raw_Data!B146)))</f>
        <v>46294</v>
      </c>
      <c r="C146" s="16" t="str">
        <f aca="false">PROPER(TRIM(Raw_Data!C146))</f>
        <v>Sofia Rossi</v>
      </c>
      <c r="D146" s="16" t="str">
        <f aca="false">PROPER(TRIM(Raw_Data!D146))</f>
        <v>Bug Report</v>
      </c>
      <c r="E146" s="16" t="str">
        <f aca="false">PROPER(TRIM(Raw_Data!E146))</f>
        <v>Low</v>
      </c>
      <c r="F146" s="16" t="str">
        <f aca="false">PROPER(TRIM(Raw_Data!F146))</f>
        <v>Resolved</v>
      </c>
      <c r="G146" s="18" t="n">
        <f aca="false">IF(Raw_Data!G146="","",IF(Raw_Data!G146&gt;Brief!$C$17,"",Raw_Data!G146))</f>
        <v>44.9</v>
      </c>
      <c r="H146" s="16" t="n">
        <f aca="false">IF(Raw_Data!H146="","",Raw_Data!H146)</f>
        <v>4</v>
      </c>
      <c r="I146" s="16" t="str">
        <f aca="false">IF(COUNTIF($A$2:A146,A146)&gt;1,"Duplicate","OK")</f>
        <v>OK</v>
      </c>
      <c r="J146" s="16" t="str">
        <f aca="false">IF(ISNUMBER(Raw_Data!B146),"","Text date fixed")</f>
        <v/>
      </c>
      <c r="K146" s="16" t="str">
        <f aca="false">IF(Raw_Data!G146="",IF(F146="Resolved","Missing hours",""),IF(Raw_Data!G146&gt;Brief!$C$17,"Outlier removed",""))</f>
        <v/>
      </c>
      <c r="L146" s="16" t="n">
        <f aca="false">IF(I146="OK",1,0)</f>
        <v>1</v>
      </c>
    </row>
    <row r="147" customFormat="false" ht="15" hidden="false" customHeight="false" outlineLevel="0" collapsed="false">
      <c r="A147" s="16" t="str">
        <f aca="false">TRIM(Raw_Data!A147)</f>
        <v>TKT-1146</v>
      </c>
      <c r="B147" s="17" t="n">
        <f aca="false">IF(ISNUMBER(Raw_Data!B147),Raw_Data!B147,DATEVALUE(TRIM(Raw_Data!B147)))</f>
        <v>46294</v>
      </c>
      <c r="C147" s="16" t="str">
        <f aca="false">PROPER(TRIM(Raw_Data!C147))</f>
        <v>Noah Kim</v>
      </c>
      <c r="D147" s="16" t="str">
        <f aca="false">PROPER(TRIM(Raw_Data!D147))</f>
        <v>Delivery</v>
      </c>
      <c r="E147" s="16" t="str">
        <f aca="false">PROPER(TRIM(Raw_Data!E147))</f>
        <v>Medium</v>
      </c>
      <c r="F147" s="16" t="str">
        <f aca="false">PROPER(TRIM(Raw_Data!F147))</f>
        <v>Resolved</v>
      </c>
      <c r="G147" s="18" t="n">
        <f aca="false">IF(Raw_Data!G147="","",IF(Raw_Data!G147&gt;Brief!$C$17,"",Raw_Data!G147))</f>
        <v>17.8</v>
      </c>
      <c r="H147" s="16" t="n">
        <f aca="false">IF(Raw_Data!H147="","",Raw_Data!H147)</f>
        <v>5</v>
      </c>
      <c r="I147" s="16" t="str">
        <f aca="false">IF(COUNTIF($A$2:A147,A147)&gt;1,"Duplicate","OK")</f>
        <v>OK</v>
      </c>
      <c r="J147" s="16" t="str">
        <f aca="false">IF(ISNUMBER(Raw_Data!B147),"","Text date fixed")</f>
        <v/>
      </c>
      <c r="K147" s="16" t="str">
        <f aca="false">IF(Raw_Data!G147="",IF(F147="Resolved","Missing hours",""),IF(Raw_Data!G147&gt;Brief!$C$17,"Outlier removed",""))</f>
        <v/>
      </c>
      <c r="L147" s="16" t="n">
        <f aca="false">IF(I147="OK",1,0)</f>
        <v>1</v>
      </c>
    </row>
    <row r="148" customFormat="false" ht="15" hidden="false" customHeight="false" outlineLevel="0" collapsed="false">
      <c r="A148" s="16" t="str">
        <f aca="false">TRIM(Raw_Data!A148)</f>
        <v>TKT-1147</v>
      </c>
      <c r="B148" s="17" t="n">
        <f aca="false">IF(ISNUMBER(Raw_Data!B148),Raw_Data!B148,DATEVALUE(TRIM(Raw_Data!B148)))</f>
        <v>46295</v>
      </c>
      <c r="C148" s="16" t="str">
        <f aca="false">PROPER(TRIM(Raw_Data!C148))</f>
        <v>Noah Kim</v>
      </c>
      <c r="D148" s="16" t="str">
        <f aca="false">PROPER(TRIM(Raw_Data!D148))</f>
        <v>Delivery</v>
      </c>
      <c r="E148" s="16" t="str">
        <f aca="false">PROPER(TRIM(Raw_Data!E148))</f>
        <v>High</v>
      </c>
      <c r="F148" s="16" t="str">
        <f aca="false">PROPER(TRIM(Raw_Data!F148))</f>
        <v>Resolved</v>
      </c>
      <c r="G148" s="18" t="n">
        <f aca="false">IF(Raw_Data!G148="","",IF(Raw_Data!G148&gt;Brief!$C$17,"",Raw_Data!G148))</f>
        <v>11</v>
      </c>
      <c r="H148" s="16" t="n">
        <f aca="false">IF(Raw_Data!H148="","",Raw_Data!H148)</f>
        <v>4</v>
      </c>
      <c r="I148" s="16" t="str">
        <f aca="false">IF(COUNTIF($A$2:A148,A148)&gt;1,"Duplicate","OK")</f>
        <v>OK</v>
      </c>
      <c r="J148" s="16" t="str">
        <f aca="false">IF(ISNUMBER(Raw_Data!B148),"","Text date fixed")</f>
        <v/>
      </c>
      <c r="K148" s="16" t="str">
        <f aca="false">IF(Raw_Data!G148="",IF(F148="Resolved","Missing hours",""),IF(Raw_Data!G148&gt;Brief!$C$17,"Outlier removed",""))</f>
        <v/>
      </c>
      <c r="L148" s="16" t="n">
        <f aca="false">IF(I148="OK",1,0)</f>
        <v>1</v>
      </c>
    </row>
    <row r="149" customFormat="false" ht="15" hidden="false" customHeight="false" outlineLevel="0" collapsed="false">
      <c r="A149" s="16" t="str">
        <f aca="false">TRIM(Raw_Data!A149)</f>
        <v>TKT-1148</v>
      </c>
      <c r="B149" s="17" t="n">
        <f aca="false">IF(ISNUMBER(Raw_Data!B149),Raw_Data!B149,DATEVALUE(TRIM(Raw_Data!B149)))</f>
        <v>46295</v>
      </c>
      <c r="C149" s="16" t="str">
        <f aca="false">PROPER(TRIM(Raw_Data!C149))</f>
        <v>Liam O'Brien</v>
      </c>
      <c r="D149" s="16" t="str">
        <f aca="false">PROPER(TRIM(Raw_Data!D149))</f>
        <v>Login Issue</v>
      </c>
      <c r="E149" s="16" t="str">
        <f aca="false">PROPER(TRIM(Raw_Data!E149))</f>
        <v>High</v>
      </c>
      <c r="F149" s="16" t="str">
        <f aca="false">PROPER(TRIM(Raw_Data!F149))</f>
        <v>Resolved</v>
      </c>
      <c r="G149" s="18" t="n">
        <f aca="false">IF(Raw_Data!G149="","",IF(Raw_Data!G149&gt;Brief!$C$17,"",Raw_Data!G149))</f>
        <v>6.7</v>
      </c>
      <c r="H149" s="16" t="n">
        <f aca="false">IF(Raw_Data!H149="","",Raw_Data!H149)</f>
        <v>5</v>
      </c>
      <c r="I149" s="16" t="str">
        <f aca="false">IF(COUNTIF($A$2:A149,A149)&gt;1,"Duplicate","OK")</f>
        <v>OK</v>
      </c>
      <c r="J149" s="16" t="str">
        <f aca="false">IF(ISNUMBER(Raw_Data!B149),"","Text date fixed")</f>
        <v/>
      </c>
      <c r="K149" s="16" t="str">
        <f aca="false">IF(Raw_Data!G149="",IF(F149="Resolved","Missing hours",""),IF(Raw_Data!G149&gt;Brief!$C$17,"Outlier removed",""))</f>
        <v/>
      </c>
      <c r="L149" s="16" t="n">
        <f aca="false">IF(I149="OK",1,0)</f>
        <v>1</v>
      </c>
    </row>
    <row r="150" customFormat="false" ht="15" hidden="false" customHeight="false" outlineLevel="0" collapsed="false">
      <c r="A150" s="16" t="str">
        <f aca="false">TRIM(Raw_Data!A150)</f>
        <v>TKT-1149</v>
      </c>
      <c r="B150" s="17" t="n">
        <f aca="false">IF(ISNUMBER(Raw_Data!B150),Raw_Data!B150,DATEVALUE(TRIM(Raw_Data!B150)))</f>
        <v>46295</v>
      </c>
      <c r="C150" s="16" t="str">
        <f aca="false">PROPER(TRIM(Raw_Data!C150))</f>
        <v>Ava Johnson</v>
      </c>
      <c r="D150" s="16" t="str">
        <f aca="false">PROPER(TRIM(Raw_Data!D150))</f>
        <v>Bug Report</v>
      </c>
      <c r="E150" s="16" t="str">
        <f aca="false">PROPER(TRIM(Raw_Data!E150))</f>
        <v>Medium</v>
      </c>
      <c r="F150" s="16" t="str">
        <f aca="false">PROPER(TRIM(Raw_Data!F150))</f>
        <v>Resolved</v>
      </c>
      <c r="G150" s="18" t="n">
        <f aca="false">IF(Raw_Data!G150="","",IF(Raw_Data!G150&gt;Brief!$C$17,"",Raw_Data!G150))</f>
        <v>18</v>
      </c>
      <c r="H150" s="16" t="n">
        <f aca="false">IF(Raw_Data!H150="","",Raw_Data!H150)</f>
        <v>4</v>
      </c>
      <c r="I150" s="16" t="str">
        <f aca="false">IF(COUNTIF($A$2:A150,A150)&gt;1,"Duplicate","OK")</f>
        <v>OK</v>
      </c>
      <c r="J150" s="16" t="str">
        <f aca="false">IF(ISNUMBER(Raw_Data!B150),"","Text date fixed")</f>
        <v/>
      </c>
      <c r="K150" s="16" t="str">
        <f aca="false">IF(Raw_Data!G150="",IF(F150="Resolved","Missing hours",""),IF(Raw_Data!G150&gt;Brief!$C$17,"Outlier removed",""))</f>
        <v/>
      </c>
      <c r="L150" s="16" t="n">
        <f aca="false">IF(I150="OK",1,0)</f>
        <v>1</v>
      </c>
    </row>
    <row r="151" customFormat="false" ht="15" hidden="false" customHeight="false" outlineLevel="0" collapsed="false">
      <c r="A151" s="16" t="str">
        <f aca="false">TRIM(Raw_Data!A151)</f>
        <v>TKT-1150</v>
      </c>
      <c r="B151" s="17" t="n">
        <f aca="false">IF(ISNUMBER(Raw_Data!B151),Raw_Data!B151,DATEVALUE(TRIM(Raw_Data!B151)))</f>
        <v>46295</v>
      </c>
      <c r="C151" s="16" t="str">
        <f aca="false">PROPER(TRIM(Raw_Data!C151))</f>
        <v>Ava Johnson</v>
      </c>
      <c r="D151" s="16" t="str">
        <f aca="false">PROPER(TRIM(Raw_Data!D151))</f>
        <v>Billing</v>
      </c>
      <c r="E151" s="16" t="str">
        <f aca="false">PROPER(TRIM(Raw_Data!E151))</f>
        <v>Medium</v>
      </c>
      <c r="F151" s="16" t="str">
        <f aca="false">PROPER(TRIM(Raw_Data!F151))</f>
        <v>Resolved</v>
      </c>
      <c r="G151" s="18" t="n">
        <f aca="false">IF(Raw_Data!G151="","",IF(Raw_Data!G151&gt;Brief!$C$17,"",Raw_Data!G151))</f>
        <v>14.8</v>
      </c>
      <c r="H151" s="16" t="n">
        <f aca="false">IF(Raw_Data!H151="","",Raw_Data!H151)</f>
        <v>5</v>
      </c>
      <c r="I151" s="16" t="str">
        <f aca="false">IF(COUNTIF($A$2:A151,A151)&gt;1,"Duplicate","OK")</f>
        <v>OK</v>
      </c>
      <c r="J151" s="16" t="str">
        <f aca="false">IF(ISNUMBER(Raw_Data!B151),"","Text date fixed")</f>
        <v/>
      </c>
      <c r="K151" s="16" t="str">
        <f aca="false">IF(Raw_Data!G151="",IF(F151="Resolved","Missing hours",""),IF(Raw_Data!G151&gt;Brief!$C$17,"Outlier removed",""))</f>
        <v/>
      </c>
      <c r="L151" s="16" t="n">
        <f aca="false">IF(I151="OK",1,0)</f>
        <v>1</v>
      </c>
    </row>
    <row r="152" customFormat="false" ht="15" hidden="false" customHeight="false" outlineLevel="0" collapsed="false">
      <c r="A152" s="16" t="str">
        <f aca="false">TRIM(Raw_Data!A152)</f>
        <v>TKT-1040</v>
      </c>
      <c r="B152" s="17" t="n">
        <f aca="false">IF(ISNUMBER(Raw_Data!B152),Raw_Data!B152,DATEVALUE(TRIM(Raw_Data!B152)))</f>
        <v>46271</v>
      </c>
      <c r="C152" s="16" t="str">
        <f aca="false">PROPER(TRIM(Raw_Data!C152))</f>
        <v>Ava Johnson</v>
      </c>
      <c r="D152" s="16" t="str">
        <f aca="false">PROPER(TRIM(Raw_Data!D152))</f>
        <v>Login Issue</v>
      </c>
      <c r="E152" s="16" t="str">
        <f aca="false">PROPER(TRIM(Raw_Data!E152))</f>
        <v>Medium</v>
      </c>
      <c r="F152" s="16" t="str">
        <f aca="false">PROPER(TRIM(Raw_Data!F152))</f>
        <v>Escalated</v>
      </c>
      <c r="G152" s="18" t="str">
        <f aca="false">IF(Raw_Data!G152="","",IF(Raw_Data!G152&gt;Brief!$C$17,"",Raw_Data!G152))</f>
        <v/>
      </c>
      <c r="H152" s="16" t="str">
        <f aca="false">IF(Raw_Data!H152="","",Raw_Data!H152)</f>
        <v/>
      </c>
      <c r="I152" s="16" t="str">
        <f aca="false">IF(COUNTIF($A$2:A152,A152)&gt;1,"Duplicate","OK")</f>
        <v>Duplicate</v>
      </c>
      <c r="J152" s="16" t="str">
        <f aca="false">IF(ISNUMBER(Raw_Data!B152),"","Text date fixed")</f>
        <v/>
      </c>
      <c r="K152" s="16" t="str">
        <f aca="false">IF(Raw_Data!G152="",IF(F152="Resolved","Missing hours",""),IF(Raw_Data!G152&gt;Brief!$C$17,"Outlier removed",""))</f>
        <v/>
      </c>
      <c r="L152" s="16" t="n">
        <f aca="false">IF(I152="OK",1,0)</f>
        <v>0</v>
      </c>
    </row>
    <row r="153" customFormat="false" ht="15" hidden="false" customHeight="false" outlineLevel="0" collapsed="false">
      <c r="A153" s="16" t="str">
        <f aca="false">TRIM(Raw_Data!A153)</f>
        <v>TKT-1064</v>
      </c>
      <c r="B153" s="17" t="n">
        <f aca="false">IF(ISNUMBER(Raw_Data!B153),Raw_Data!B153,DATEVALUE(TRIM(Raw_Data!B153)))</f>
        <v>46276</v>
      </c>
      <c r="C153" s="16" t="str">
        <f aca="false">PROPER(TRIM(Raw_Data!C153))</f>
        <v>Liam O'Brien</v>
      </c>
      <c r="D153" s="16" t="str">
        <f aca="false">PROPER(TRIM(Raw_Data!D153))</f>
        <v>Login Issue</v>
      </c>
      <c r="E153" s="16" t="str">
        <f aca="false">PROPER(TRIM(Raw_Data!E153))</f>
        <v>High</v>
      </c>
      <c r="F153" s="16" t="str">
        <f aca="false">PROPER(TRIM(Raw_Data!F153))</f>
        <v>Resolved</v>
      </c>
      <c r="G153" s="18" t="n">
        <f aca="false">IF(Raw_Data!G153="","",IF(Raw_Data!G153&gt;Brief!$C$17,"",Raw_Data!G153))</f>
        <v>6.8</v>
      </c>
      <c r="H153" s="16" t="n">
        <f aca="false">IF(Raw_Data!H153="","",Raw_Data!H153)</f>
        <v>5</v>
      </c>
      <c r="I153" s="16" t="str">
        <f aca="false">IF(COUNTIF($A$2:A153,A153)&gt;1,"Duplicate","OK")</f>
        <v>Duplicate</v>
      </c>
      <c r="J153" s="16" t="str">
        <f aca="false">IF(ISNUMBER(Raw_Data!B153),"","Text date fixed")</f>
        <v/>
      </c>
      <c r="K153" s="16" t="str">
        <f aca="false">IF(Raw_Data!G153="",IF(F153="Resolved","Missing hours",""),IF(Raw_Data!G153&gt;Brief!$C$17,"Outlier removed",""))</f>
        <v/>
      </c>
      <c r="L153" s="16" t="n">
        <f aca="false">IF(I153="OK",1,0)</f>
        <v>0</v>
      </c>
    </row>
    <row r="154" customFormat="false" ht="15" hidden="false" customHeight="false" outlineLevel="0" collapsed="false">
      <c r="A154" s="16" t="str">
        <f aca="false">TRIM(Raw_Data!A154)</f>
        <v>TKT-1084</v>
      </c>
      <c r="B154" s="17" t="n">
        <f aca="false">IF(ISNUMBER(Raw_Data!B154),Raw_Data!B154,DATEVALUE(TRIM(Raw_Data!B154)))</f>
        <v>46280</v>
      </c>
      <c r="C154" s="16" t="str">
        <f aca="false">PROPER(TRIM(Raw_Data!C154))</f>
        <v>Noah Kim</v>
      </c>
      <c r="D154" s="16" t="str">
        <f aca="false">PROPER(TRIM(Raw_Data!D154))</f>
        <v>Billing</v>
      </c>
      <c r="E154" s="16" t="str">
        <f aca="false">PROPER(TRIM(Raw_Data!E154))</f>
        <v>Medium</v>
      </c>
      <c r="F154" s="16" t="str">
        <f aca="false">PROPER(TRIM(Raw_Data!F154))</f>
        <v>Resolved</v>
      </c>
      <c r="G154" s="18" t="n">
        <f aca="false">IF(Raw_Data!G154="","",IF(Raw_Data!G154&gt;Brief!$C$17,"",Raw_Data!G154))</f>
        <v>12.3</v>
      </c>
      <c r="H154" s="16" t="n">
        <f aca="false">IF(Raw_Data!H154="","",Raw_Data!H154)</f>
        <v>5</v>
      </c>
      <c r="I154" s="16" t="str">
        <f aca="false">IF(COUNTIF($A$2:A154,A154)&gt;1,"Duplicate","OK")</f>
        <v>Duplicate</v>
      </c>
      <c r="J154" s="16" t="str">
        <f aca="false">IF(ISNUMBER(Raw_Data!B154),"","Text date fixed")</f>
        <v/>
      </c>
      <c r="K154" s="16" t="str">
        <f aca="false">IF(Raw_Data!G154="",IF(F154="Resolved","Missing hours",""),IF(Raw_Data!G154&gt;Brief!$C$17,"Outlier removed",""))</f>
        <v/>
      </c>
      <c r="L154" s="16" t="n">
        <f aca="false">IF(I154="OK",1,0)</f>
        <v>0</v>
      </c>
    </row>
    <row r="155" customFormat="false" ht="15" hidden="false" customHeight="false" outlineLevel="0" collapsed="false">
      <c r="A155" s="16" t="str">
        <f aca="false">TRIM(Raw_Data!A155)</f>
        <v>TKT-1134</v>
      </c>
      <c r="B155" s="17" t="n">
        <f aca="false">IF(ISNUMBER(Raw_Data!B155),Raw_Data!B155,DATEVALUE(TRIM(Raw_Data!B155)))</f>
        <v>46291</v>
      </c>
      <c r="C155" s="16" t="str">
        <f aca="false">PROPER(TRIM(Raw_Data!C155))</f>
        <v>Noah Kim</v>
      </c>
      <c r="D155" s="16" t="str">
        <f aca="false">PROPER(TRIM(Raw_Data!D155))</f>
        <v>Login Issue</v>
      </c>
      <c r="E155" s="16" t="str">
        <f aca="false">PROPER(TRIM(Raw_Data!E155))</f>
        <v>Low</v>
      </c>
      <c r="F155" s="16" t="str">
        <f aca="false">PROPER(TRIM(Raw_Data!F155))</f>
        <v>Open</v>
      </c>
      <c r="G155" s="18" t="str">
        <f aca="false">IF(Raw_Data!G155="","",IF(Raw_Data!G155&gt;Brief!$C$17,"",Raw_Data!G155))</f>
        <v/>
      </c>
      <c r="H155" s="16" t="str">
        <f aca="false">IF(Raw_Data!H155="","",Raw_Data!H155)</f>
        <v/>
      </c>
      <c r="I155" s="16" t="str">
        <f aca="false">IF(COUNTIF($A$2:A155,A155)&gt;1,"Duplicate","OK")</f>
        <v>Duplicate</v>
      </c>
      <c r="J155" s="16" t="str">
        <f aca="false">IF(ISNUMBER(Raw_Data!B155),"","Text date fixed")</f>
        <v/>
      </c>
      <c r="K155" s="16" t="str">
        <f aca="false">IF(Raw_Data!G155="",IF(F155="Resolved","Missing hours",""),IF(Raw_Data!G155&gt;Brief!$C$17,"Outlier removed",""))</f>
        <v/>
      </c>
      <c r="L155" s="16" t="n">
        <f aca="false">IF(I155="OK",1,0)</f>
        <v>0</v>
      </c>
    </row>
    <row r="156" customFormat="false" ht="15" hidden="false" customHeight="false" outlineLevel="0" collapsed="false">
      <c r="A156" s="16" t="str">
        <f aca="false">TRIM(Raw_Data!A156)</f>
        <v>TKT-1090</v>
      </c>
      <c r="B156" s="17" t="n">
        <f aca="false">IF(ISNUMBER(Raw_Data!B156),Raw_Data!B156,DATEVALUE(TRIM(Raw_Data!B156)))</f>
        <v>46281</v>
      </c>
      <c r="C156" s="16" t="str">
        <f aca="false">PROPER(TRIM(Raw_Data!C156))</f>
        <v>Maya Patel</v>
      </c>
      <c r="D156" s="16" t="str">
        <f aca="false">PROPER(TRIM(Raw_Data!D156))</f>
        <v>Bug Report</v>
      </c>
      <c r="E156" s="16" t="str">
        <f aca="false">PROPER(TRIM(Raw_Data!E156))</f>
        <v>Medium</v>
      </c>
      <c r="F156" s="16" t="str">
        <f aca="false">PROPER(TRIM(Raw_Data!F156))</f>
        <v>Resolved</v>
      </c>
      <c r="G156" s="18" t="n">
        <f aca="false">IF(Raw_Data!G156="","",IF(Raw_Data!G156&gt;Brief!$C$17,"",Raw_Data!G156))</f>
        <v>9</v>
      </c>
      <c r="H156" s="16" t="str">
        <f aca="false">IF(Raw_Data!H156="","",Raw_Data!H156)</f>
        <v/>
      </c>
      <c r="I156" s="16" t="str">
        <f aca="false">IF(COUNTIF($A$2:A156,A156)&gt;1,"Duplicate","OK")</f>
        <v>Duplicate</v>
      </c>
      <c r="J156" s="16" t="str">
        <f aca="false">IF(ISNUMBER(Raw_Data!B156),"","Text date fixed")</f>
        <v/>
      </c>
      <c r="K156" s="16" t="str">
        <f aca="false">IF(Raw_Data!G156="",IF(F156="Resolved","Missing hours",""),IF(Raw_Data!G156&gt;Brief!$C$17,"Outlier removed",""))</f>
        <v/>
      </c>
      <c r="L156" s="16" t="n">
        <f aca="false">IF(I156="OK",1,0)</f>
        <v>0</v>
      </c>
    </row>
    <row r="157" customFormat="false" ht="15" hidden="false" customHeight="false" outlineLevel="0" collapsed="false">
      <c r="A157" s="16" t="str">
        <f aca="false">TRIM(Raw_Data!A157)</f>
        <v>TKT-1042</v>
      </c>
      <c r="B157" s="17" t="n">
        <f aca="false">IF(ISNUMBER(Raw_Data!B157),Raw_Data!B157,DATEVALUE(TRIM(Raw_Data!B157)))</f>
        <v>46272</v>
      </c>
      <c r="C157" s="16" t="str">
        <f aca="false">PROPER(TRIM(Raw_Data!C157))</f>
        <v>Noah Kim</v>
      </c>
      <c r="D157" s="16" t="str">
        <f aca="false">PROPER(TRIM(Raw_Data!D157))</f>
        <v>Delivery</v>
      </c>
      <c r="E157" s="16" t="str">
        <f aca="false">PROPER(TRIM(Raw_Data!E157))</f>
        <v>High</v>
      </c>
      <c r="F157" s="16" t="str">
        <f aca="false">PROPER(TRIM(Raw_Data!F157))</f>
        <v>Resolved</v>
      </c>
      <c r="G157" s="18" t="n">
        <f aca="false">IF(Raw_Data!G157="","",IF(Raw_Data!G157&gt;Brief!$C$17,"",Raw_Data!G157))</f>
        <v>9.4</v>
      </c>
      <c r="H157" s="16" t="n">
        <f aca="false">IF(Raw_Data!H157="","",Raw_Data!H157)</f>
        <v>5</v>
      </c>
      <c r="I157" s="16" t="str">
        <f aca="false">IF(COUNTIF($A$2:A157,A157)&gt;1,"Duplicate","OK")</f>
        <v>Duplicate</v>
      </c>
      <c r="J157" s="16" t="str">
        <f aca="false">IF(ISNUMBER(Raw_Data!B157),"","Text date fixed")</f>
        <v/>
      </c>
      <c r="K157" s="16" t="str">
        <f aca="false">IF(Raw_Data!G157="",IF(F157="Resolved","Missing hours",""),IF(Raw_Data!G157&gt;Brief!$C$17,"Outlier removed",""))</f>
        <v/>
      </c>
      <c r="L157" s="16" t="n">
        <f aca="false">IF(I157="OK",1,0)</f>
        <v>0</v>
      </c>
    </row>
  </sheetData>
  <autoFilter ref="A1:L157"/>
  <conditionalFormatting sqref="A2:L157">
    <cfRule type="expression" priority="2" aboveAverage="0" equalAverage="0" bottom="0" percent="0" rank="0" text="" dxfId="6">
      <formula>$I2="Duplicate"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50"/>
    <col collapsed="false" customWidth="true" hidden="false" outlineLevel="0" max="5" min="5" style="0" width="10"/>
  </cols>
  <sheetData>
    <row r="2" customFormat="false" ht="22.05" hidden="false" customHeight="false" outlineLevel="0" collapsed="false">
      <c r="B2" s="1" t="s">
        <v>308</v>
      </c>
    </row>
    <row r="4" customFormat="false" ht="15" hidden="false" customHeight="false" outlineLevel="0" collapsed="false">
      <c r="B4" s="3" t="s">
        <v>309</v>
      </c>
    </row>
    <row r="5" customFormat="false" ht="15" hidden="false" customHeight="false" outlineLevel="0" collapsed="false">
      <c r="B5" s="9" t="s">
        <v>310</v>
      </c>
      <c r="C5" s="9" t="s">
        <v>311</v>
      </c>
      <c r="D5" s="9" t="s">
        <v>312</v>
      </c>
    </row>
    <row r="6" customFormat="false" ht="15" hidden="false" customHeight="false" outlineLevel="0" collapsed="false">
      <c r="B6" s="4" t="s">
        <v>313</v>
      </c>
      <c r="C6" s="19" t="n">
        <f aca="false">COUNTA(Raw_Data!$A$2:$A$500)</f>
        <v>156</v>
      </c>
      <c r="D6" s="20" t="s">
        <v>314</v>
      </c>
    </row>
    <row r="7" customFormat="false" ht="15" hidden="false" customHeight="false" outlineLevel="0" collapsed="false">
      <c r="B7" s="4" t="s">
        <v>315</v>
      </c>
      <c r="C7" s="19" t="n">
        <f aca="false">COUNTIF(Cleaning!$I$2:$I$500,"Duplicate")</f>
        <v>6</v>
      </c>
      <c r="D7" s="20" t="s">
        <v>316</v>
      </c>
    </row>
    <row r="8" customFormat="false" ht="15" hidden="false" customHeight="false" outlineLevel="0" collapsed="false">
      <c r="B8" s="4" t="s">
        <v>317</v>
      </c>
      <c r="C8" s="19" t="n">
        <f aca="false">COUNTIF(Cleaning!$J$2:$J$500,"Text date fixed")</f>
        <v>10</v>
      </c>
      <c r="D8" s="20" t="s">
        <v>318</v>
      </c>
    </row>
    <row r="9" customFormat="false" ht="15" hidden="false" customHeight="false" outlineLevel="0" collapsed="false">
      <c r="B9" s="4" t="s">
        <v>319</v>
      </c>
      <c r="C9" s="19" t="n">
        <f aca="false">COUNTIF(Cleaning!$K$2:$K$500,"Missing hours")</f>
        <v>4</v>
      </c>
      <c r="D9" s="20" t="s">
        <v>320</v>
      </c>
    </row>
    <row r="10" customFormat="false" ht="15" hidden="false" customHeight="false" outlineLevel="0" collapsed="false">
      <c r="B10" s="4" t="s">
        <v>321</v>
      </c>
      <c r="C10" s="19" t="n">
        <f aca="false">COUNTIF(Cleaning!$K$2:$K$500,"Outlier removed")</f>
        <v>2</v>
      </c>
      <c r="D10" s="20" t="s">
        <v>322</v>
      </c>
    </row>
    <row r="11" customFormat="false" ht="15" hidden="false" customHeight="false" outlineLevel="0" collapsed="false">
      <c r="B11" s="4" t="s">
        <v>323</v>
      </c>
      <c r="C11" s="19" t="n">
        <f aca="false">COUNTIFS(Cleaning!$F$2:$F$500,"Resolved",Cleaning!$L$2:$L$500,1)-COUNTIFS(Cleaning!$F$2:$F$500,"Resolved",Cleaning!$L$2:$L$500,1,Cleaning!$H$2:$H$500,"&gt;0")</f>
        <v>18</v>
      </c>
      <c r="D11" s="20" t="s">
        <v>324</v>
      </c>
    </row>
    <row r="12" customFormat="false" ht="15" hidden="false" customHeight="false" outlineLevel="0" collapsed="false">
      <c r="B12" s="4" t="s">
        <v>325</v>
      </c>
      <c r="C12" s="19" t="n">
        <f aca="false">SUM(Cleaning!$L$2:$L$500)</f>
        <v>150</v>
      </c>
      <c r="D12" s="20" t="s">
        <v>326</v>
      </c>
    </row>
    <row r="14" customFormat="false" ht="15" hidden="false" customHeight="false" outlineLevel="0" collapsed="false">
      <c r="B14" s="3" t="s">
        <v>327</v>
      </c>
    </row>
    <row r="15" customFormat="false" ht="15" hidden="false" customHeight="false" outlineLevel="0" collapsed="false">
      <c r="B15" s="9" t="s">
        <v>328</v>
      </c>
      <c r="C15" s="9" t="s">
        <v>329</v>
      </c>
      <c r="D15" s="9" t="s">
        <v>330</v>
      </c>
      <c r="E15" s="9" t="s">
        <v>331</v>
      </c>
    </row>
    <row r="16" customFormat="false" ht="15" hidden="false" customHeight="false" outlineLevel="0" collapsed="false">
      <c r="B16" s="4" t="s">
        <v>332</v>
      </c>
      <c r="C16" s="19" t="n">
        <f aca="false">C6-C7</f>
        <v>150</v>
      </c>
      <c r="D16" s="19" t="n">
        <f aca="false">C12</f>
        <v>150</v>
      </c>
      <c r="E16" s="21" t="str">
        <f aca="false">IF(D16=C16,"PASS","FAIL")</f>
        <v>PASS</v>
      </c>
    </row>
    <row r="17" customFormat="false" ht="15" hidden="false" customHeight="false" outlineLevel="0" collapsed="false">
      <c r="B17" s="4" t="s">
        <v>333</v>
      </c>
      <c r="C17" s="19" t="n">
        <f aca="false">C12</f>
        <v>150</v>
      </c>
      <c r="D17" s="19" t="n">
        <f aca="false">Analysis!B21</f>
        <v>150</v>
      </c>
      <c r="E17" s="21" t="str">
        <f aca="false">IF(D17=C17,"PASS","FAIL")</f>
        <v>PASS</v>
      </c>
    </row>
    <row r="18" customFormat="false" ht="15" hidden="false" customHeight="false" outlineLevel="0" collapsed="false">
      <c r="B18" s="4" t="s">
        <v>334</v>
      </c>
      <c r="C18" s="19" t="n">
        <f aca="false">C12</f>
        <v>150</v>
      </c>
      <c r="D18" s="19" t="n">
        <f aca="false">Analysis!B31</f>
        <v>150</v>
      </c>
      <c r="E18" s="21" t="str">
        <f aca="false">IF(D18=C18,"PASS","FAIL")</f>
        <v>PASS</v>
      </c>
    </row>
    <row r="19" customFormat="false" ht="15" hidden="false" customHeight="false" outlineLevel="0" collapsed="false">
      <c r="B19" s="4" t="s">
        <v>335</v>
      </c>
      <c r="C19" s="19" t="n">
        <f aca="false">C12</f>
        <v>150</v>
      </c>
      <c r="D19" s="19" t="n">
        <f aca="false">Analysis!B40</f>
        <v>150</v>
      </c>
      <c r="E19" s="21" t="str">
        <f aca="false">IF(D19=C19,"PASS","FAIL")</f>
        <v>PASS</v>
      </c>
    </row>
    <row r="20" customFormat="false" ht="15" hidden="false" customHeight="false" outlineLevel="0" collapsed="false">
      <c r="B20" s="4" t="s">
        <v>336</v>
      </c>
      <c r="C20" s="19" t="n">
        <f aca="false">C12</f>
        <v>150</v>
      </c>
      <c r="D20" s="19" t="n">
        <f aca="false">Analysis!I10</f>
        <v>150</v>
      </c>
      <c r="E20" s="21" t="str">
        <f aca="false">IF(D20=C20,"PASS","FAIL")</f>
        <v>PASS</v>
      </c>
    </row>
    <row r="21" customFormat="false" ht="15" hidden="false" customHeight="false" outlineLevel="0" collapsed="false">
      <c r="B21" s="4" t="s">
        <v>337</v>
      </c>
      <c r="C21" s="19" t="n">
        <f aca="false">Analysis!B4</f>
        <v>150</v>
      </c>
      <c r="D21" s="19" t="n">
        <f aca="false">Report!B11</f>
        <v>150</v>
      </c>
      <c r="E21" s="21" t="str">
        <f aca="false">IF(D21=C21,"PASS","FAIL")</f>
        <v>PASS</v>
      </c>
    </row>
    <row r="22" customFormat="false" ht="15" hidden="false" customHeight="false" outlineLevel="0" collapsed="false">
      <c r="B22" s="4" t="s">
        <v>338</v>
      </c>
      <c r="C22" s="19" t="n">
        <f aca="false">0</f>
        <v>0</v>
      </c>
      <c r="D22" s="19" t="n">
        <f aca="false">COUNTIFS(Cleaning!$L$2:$L$500,1,Cleaning!$B$2:$B$500,"&lt;"&amp;Brief!$C$7)+COUNTIFS(Cleaning!$L$2:$L$500,1,Cleaning!$B$2:$B$500,"&gt;"&amp;Brief!$C$8)</f>
        <v>0</v>
      </c>
      <c r="E22" s="21" t="str">
        <f aca="false">IF(D22=C22,"PASS","FAIL")</f>
        <v>PASS</v>
      </c>
    </row>
    <row r="24" customFormat="false" ht="15" hidden="false" customHeight="false" outlineLevel="0" collapsed="false">
      <c r="B24" s="4" t="s">
        <v>339</v>
      </c>
      <c r="C24" s="22" t="str">
        <f aca="false">IF(COUNTIF(E16:E22,"FAIL")=0,"ALL CHECKS PASS","CHECK FAILED")</f>
        <v>ALL CHECKS PASS</v>
      </c>
      <c r="D24" s="22"/>
    </row>
    <row r="26" customFormat="false" ht="15" hidden="false" customHeight="false" outlineLevel="0" collapsed="false">
      <c r="B26" s="3" t="s">
        <v>340</v>
      </c>
    </row>
    <row r="27" customFormat="false" ht="15" hidden="false" customHeight="false" outlineLevel="0" collapsed="false">
      <c r="B27" s="9" t="s">
        <v>341</v>
      </c>
      <c r="C27" s="9" t="s">
        <v>28</v>
      </c>
    </row>
    <row r="28" customFormat="false" ht="15" hidden="false" customHeight="false" outlineLevel="0" collapsed="false">
      <c r="B28" s="20" t="s">
        <v>342</v>
      </c>
      <c r="C28" s="23" t="s">
        <v>50</v>
      </c>
    </row>
    <row r="29" customFormat="false" ht="15" hidden="false" customHeight="false" outlineLevel="0" collapsed="false">
      <c r="B29" s="20" t="s">
        <v>343</v>
      </c>
      <c r="C29" s="23" t="s">
        <v>50</v>
      </c>
    </row>
    <row r="30" customFormat="false" ht="15" hidden="false" customHeight="false" outlineLevel="0" collapsed="false">
      <c r="B30" s="20" t="s">
        <v>344</v>
      </c>
      <c r="C30" s="23" t="s">
        <v>50</v>
      </c>
    </row>
    <row r="31" customFormat="false" ht="15" hidden="false" customHeight="false" outlineLevel="0" collapsed="false">
      <c r="B31" s="20" t="s">
        <v>345</v>
      </c>
      <c r="C31" s="23" t="s">
        <v>50</v>
      </c>
    </row>
    <row r="32" customFormat="false" ht="15" hidden="false" customHeight="false" outlineLevel="0" collapsed="false">
      <c r="B32" s="20" t="s">
        <v>346</v>
      </c>
      <c r="C32" s="23" t="s">
        <v>50</v>
      </c>
    </row>
    <row r="33" customFormat="false" ht="15" hidden="false" customHeight="false" outlineLevel="0" collapsed="false">
      <c r="B33" s="20" t="s">
        <v>347</v>
      </c>
      <c r="C33" s="23" t="s">
        <v>50</v>
      </c>
    </row>
  </sheetData>
  <mergeCells count="1">
    <mergeCell ref="C24:D24"/>
  </mergeCells>
  <conditionalFormatting sqref="E16:E22">
    <cfRule type="expression" priority="2" aboveAverage="0" equalAverage="0" bottom="0" percent="0" rank="0" text="" dxfId="0">
      <formula>E16="PASS"</formula>
    </cfRule>
    <cfRule type="expression" priority="3" aboveAverage="0" equalAverage="0" bottom="0" percent="0" rank="0" text="" dxfId="6">
      <formula>E16="FAIL"</formula>
    </cfRule>
  </conditionalFormatting>
  <conditionalFormatting sqref="C28:C33">
    <cfRule type="expression" priority="4" aboveAverage="0" equalAverage="0" bottom="0" percent="0" rank="0" text="" dxfId="0">
      <formula>C28="Yes"</formula>
    </cfRule>
  </conditionalFormatting>
  <dataValidations count="1">
    <dataValidation allowBlank="false" errorStyle="stop" operator="between" showDropDown="false" showErrorMessage="false" showInputMessage="false" sqref="C28:C3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1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7"/>
    <col collapsed="false" customWidth="true" hidden="false" outlineLevel="0" max="9" min="9" style="0" width="11"/>
    <col collapsed="false" customWidth="true" hidden="false" outlineLevel="0" max="11" min="10" style="0" width="10"/>
  </cols>
  <sheetData>
    <row r="1" customFormat="false" ht="22.05" hidden="false" customHeight="false" outlineLevel="0" collapsed="false">
      <c r="A1" s="1" t="s">
        <v>348</v>
      </c>
    </row>
    <row r="3" customFormat="false" ht="15" hidden="false" customHeight="false" outlineLevel="0" collapsed="false">
      <c r="A3" s="3" t="s">
        <v>349</v>
      </c>
      <c r="G3" s="3" t="s">
        <v>350</v>
      </c>
    </row>
    <row r="4" customFormat="false" ht="15" hidden="false" customHeight="false" outlineLevel="0" collapsed="false">
      <c r="A4" s="4" t="s">
        <v>351</v>
      </c>
      <c r="B4" s="19" t="n">
        <f aca="false">SUM(Cleaning!$L$2:$L$500)</f>
        <v>150</v>
      </c>
      <c r="G4" s="9" t="s">
        <v>352</v>
      </c>
      <c r="H4" s="9" t="s">
        <v>353</v>
      </c>
      <c r="I4" s="9" t="s">
        <v>354</v>
      </c>
      <c r="J4" s="9" t="s">
        <v>355</v>
      </c>
      <c r="K4" s="9" t="s">
        <v>356</v>
      </c>
    </row>
    <row r="5" customFormat="false" ht="15" hidden="false" customHeight="false" outlineLevel="0" collapsed="false">
      <c r="A5" s="4" t="s">
        <v>70</v>
      </c>
      <c r="B5" s="19" t="n">
        <f aca="false">COUNTIFS(Cleaning!$F$2:$F$500,"Resolved",Cleaning!$L$2:$L$500,1)</f>
        <v>124</v>
      </c>
      <c r="G5" s="20" t="s">
        <v>357</v>
      </c>
      <c r="H5" s="20" t="str">
        <f aca="false">TEXT(J5,"d mmm")&amp;" - "&amp;TEXT(K5,"d mmm")</f>
        <v>1 Sep - 7 Sep</v>
      </c>
      <c r="I5" s="19" t="n">
        <f aca="false">COUNTIFS(Cleaning!$B$2:$B$500,"&gt;="&amp;J5,Cleaning!$B$2:$B$500,"&lt;="&amp;K5,Cleaning!$L$2:$L$500,1)</f>
        <v>43</v>
      </c>
      <c r="J5" s="24" t="n">
        <f aca="false">Brief!$C$7</f>
        <v>46266</v>
      </c>
      <c r="K5" s="25" t="n">
        <f aca="false">MIN(J5+6,Brief!$C$8)</f>
        <v>46272</v>
      </c>
    </row>
    <row r="6" customFormat="false" ht="15" hidden="false" customHeight="false" outlineLevel="0" collapsed="false">
      <c r="A6" s="4" t="s">
        <v>358</v>
      </c>
      <c r="B6" s="26" t="n">
        <f aca="false">IF(B4=0,0,B5/B4)</f>
        <v>0.826666666666667</v>
      </c>
      <c r="G6" s="20" t="s">
        <v>359</v>
      </c>
      <c r="H6" s="20" t="str">
        <f aca="false">TEXT(J6,"d mmm")&amp;" - "&amp;TEXT(K6,"d mmm")</f>
        <v>8 Sep - 14 Sep</v>
      </c>
      <c r="I6" s="19" t="n">
        <f aca="false">COUNTIFS(Cleaning!$B$2:$B$500,"&gt;="&amp;J6,Cleaning!$B$2:$B$500,"&lt;="&amp;K6,Cleaning!$L$2:$L$500,1)</f>
        <v>39</v>
      </c>
      <c r="J6" s="25" t="n">
        <f aca="false">K5+1</f>
        <v>46273</v>
      </c>
      <c r="K6" s="25" t="n">
        <f aca="false">MIN(J6+6,Brief!$C$8)</f>
        <v>46279</v>
      </c>
    </row>
    <row r="7" customFormat="false" ht="15" hidden="false" customHeight="false" outlineLevel="0" collapsed="false">
      <c r="A7" s="4" t="s">
        <v>78</v>
      </c>
      <c r="B7" s="19" t="n">
        <f aca="false">COUNTIFS(Cleaning!$F$2:$F$500,"Open",Cleaning!$L$2:$L$500,1)</f>
        <v>15</v>
      </c>
      <c r="G7" s="20" t="s">
        <v>360</v>
      </c>
      <c r="H7" s="20" t="str">
        <f aca="false">TEXT(J7,"d mmm")&amp;" - "&amp;TEXT(K7,"d mmm")</f>
        <v>15 Sep - 21 Sep</v>
      </c>
      <c r="I7" s="19" t="n">
        <f aca="false">COUNTIFS(Cleaning!$B$2:$B$500,"&gt;="&amp;J7,Cleaning!$B$2:$B$500,"&lt;="&amp;K7,Cleaning!$L$2:$L$500,1)</f>
        <v>33</v>
      </c>
      <c r="J7" s="25" t="n">
        <f aca="false">K6+1</f>
        <v>46280</v>
      </c>
      <c r="K7" s="25" t="n">
        <f aca="false">MIN(J7+6,Brief!$C$8)</f>
        <v>46286</v>
      </c>
    </row>
    <row r="8" customFormat="false" ht="15" hidden="false" customHeight="false" outlineLevel="0" collapsed="false">
      <c r="A8" s="4" t="s">
        <v>65</v>
      </c>
      <c r="B8" s="19" t="n">
        <f aca="false">COUNTIFS(Cleaning!$F$2:$F$500,"Escalated",Cleaning!$L$2:$L$500,1)</f>
        <v>11</v>
      </c>
      <c r="G8" s="20" t="s">
        <v>361</v>
      </c>
      <c r="H8" s="20" t="str">
        <f aca="false">TEXT(J8,"d mmm")&amp;" - "&amp;TEXT(K8,"d mmm")</f>
        <v>22 Sep - 28 Sep</v>
      </c>
      <c r="I8" s="19" t="n">
        <f aca="false">COUNTIFS(Cleaning!$B$2:$B$500,"&gt;="&amp;J8,Cleaning!$B$2:$B$500,"&lt;="&amp;K8,Cleaning!$L$2:$L$500,1)</f>
        <v>27</v>
      </c>
      <c r="J8" s="25" t="n">
        <f aca="false">K7+1</f>
        <v>46287</v>
      </c>
      <c r="K8" s="25" t="n">
        <f aca="false">MIN(J8+6,Brief!$C$8)</f>
        <v>46293</v>
      </c>
    </row>
    <row r="9" customFormat="false" ht="15" hidden="false" customHeight="false" outlineLevel="0" collapsed="false">
      <c r="A9" s="4" t="s">
        <v>362</v>
      </c>
      <c r="B9" s="27" t="n">
        <f aca="false">IFERROR(AVERAGEIFS(Cleaning!$G$2:$G$500,Cleaning!$L$2:$L$500,1),0)</f>
        <v>18.128813559322</v>
      </c>
      <c r="G9" s="20" t="s">
        <v>363</v>
      </c>
      <c r="H9" s="20" t="str">
        <f aca="false">TEXT(J9,"d mmm")&amp;" - "&amp;TEXT(K9,"d mmm")</f>
        <v>29 Sep - 30 Sep</v>
      </c>
      <c r="I9" s="19" t="n">
        <f aca="false">COUNTIFS(Cleaning!$B$2:$B$500,"&gt;="&amp;J9,Cleaning!$B$2:$B$500,"&lt;="&amp;K9,Cleaning!$L$2:$L$500,1)</f>
        <v>8</v>
      </c>
      <c r="J9" s="25" t="n">
        <f aca="false">K8+1</f>
        <v>46294</v>
      </c>
      <c r="K9" s="25" t="n">
        <f aca="false">MIN(J9+6,Brief!$C$8)</f>
        <v>46295</v>
      </c>
    </row>
    <row r="10" customFormat="false" ht="15" hidden="false" customHeight="false" outlineLevel="0" collapsed="false">
      <c r="A10" s="4" t="s">
        <v>364</v>
      </c>
      <c r="B10" s="28" t="n">
        <f aca="false">IFERROR(AVERAGEIFS(Cleaning!$H$2:$H$500,Cleaning!$L$2:$L$500,1),0)</f>
        <v>4.12264150943396</v>
      </c>
      <c r="G10" s="4" t="s">
        <v>365</v>
      </c>
      <c r="H10" s="4"/>
      <c r="I10" s="29" t="n">
        <f aca="false">SUM(I5:I9)</f>
        <v>150</v>
      </c>
    </row>
    <row r="11" customFormat="false" ht="15" hidden="false" customHeight="false" outlineLevel="0" collapsed="false">
      <c r="A11" s="4" t="s">
        <v>366</v>
      </c>
      <c r="B11" s="26" t="n">
        <f aca="false">IF(B4=0,0,(COUNTIFS(Cleaning!$E$2:$E$500,"High",Cleaning!$L$2:$L$500,1)+COUNTIFS(Cleaning!$E$2:$E$500,"Urgent",Cleaning!$L$2:$L$500,1))/B4)</f>
        <v>0.26</v>
      </c>
    </row>
    <row r="13" customFormat="false" ht="15" hidden="false" customHeight="false" outlineLevel="0" collapsed="false">
      <c r="G13" s="3" t="s">
        <v>367</v>
      </c>
    </row>
    <row r="14" customFormat="false" ht="15" hidden="false" customHeight="false" outlineLevel="0" collapsed="false">
      <c r="A14" s="3" t="s">
        <v>368</v>
      </c>
      <c r="G14" s="9" t="s">
        <v>57</v>
      </c>
      <c r="H14" s="9" t="s">
        <v>354</v>
      </c>
      <c r="I14" s="9" t="s">
        <v>369</v>
      </c>
    </row>
    <row r="15" customFormat="false" ht="15" hidden="false" customHeight="false" outlineLevel="0" collapsed="false">
      <c r="A15" s="9" t="s">
        <v>55</v>
      </c>
      <c r="B15" s="9" t="s">
        <v>354</v>
      </c>
      <c r="C15" s="9" t="s">
        <v>369</v>
      </c>
      <c r="D15" s="9" t="s">
        <v>370</v>
      </c>
      <c r="E15" s="9" t="s">
        <v>371</v>
      </c>
      <c r="G15" s="20" t="s">
        <v>70</v>
      </c>
      <c r="H15" s="19" t="n">
        <f aca="false">COUNTIFS(Cleaning!$F$2:$F$500,G15,Cleaning!$L$2:$L$500,1)</f>
        <v>124</v>
      </c>
      <c r="I15" s="26" t="n">
        <f aca="false">IF($H$18=0,0,H15/$H$18)</f>
        <v>0.826666666666667</v>
      </c>
    </row>
    <row r="16" customFormat="false" ht="15" hidden="false" customHeight="false" outlineLevel="0" collapsed="false">
      <c r="A16" s="20" t="s">
        <v>68</v>
      </c>
      <c r="B16" s="19" t="n">
        <f aca="false">COUNTIFS(Cleaning!$D$2:$D$500,A16,Cleaning!$L$2:$L$500,1)</f>
        <v>61</v>
      </c>
      <c r="C16" s="26" t="n">
        <f aca="false">IF($B$21=0,0,B16/$B$21)</f>
        <v>0.406666666666667</v>
      </c>
      <c r="D16" s="27" t="n">
        <f aca="false">IFERROR(AVERAGEIFS(Cleaning!$G$2:$G$500,Cleaning!$D$2:$D$500,A16,Cleaning!$L$2:$L$500,1),0)</f>
        <v>18.3396226415094</v>
      </c>
      <c r="E16" s="28" t="n">
        <f aca="false">IFERROR(AVERAGEIFS(Cleaning!$H$2:$H$500,Cleaning!$D$2:$D$500,A16,Cleaning!$L$2:$L$500,1),0)</f>
        <v>4.08333333333333</v>
      </c>
      <c r="G16" s="20" t="s">
        <v>78</v>
      </c>
      <c r="H16" s="19" t="n">
        <f aca="false">COUNTIFS(Cleaning!$F$2:$F$500,G16,Cleaning!$L$2:$L$500,1)</f>
        <v>15</v>
      </c>
      <c r="I16" s="26" t="n">
        <f aca="false">IF($H$18=0,0,H16/$H$18)</f>
        <v>0.1</v>
      </c>
    </row>
    <row r="17" customFormat="false" ht="15" hidden="false" customHeight="false" outlineLevel="0" collapsed="false">
      <c r="A17" s="20" t="s">
        <v>63</v>
      </c>
      <c r="B17" s="19" t="n">
        <f aca="false">COUNTIFS(Cleaning!$D$2:$D$500,A17,Cleaning!$L$2:$L$500,1)</f>
        <v>25</v>
      </c>
      <c r="C17" s="26" t="n">
        <f aca="false">IF($B$21=0,0,B17/$B$21)</f>
        <v>0.166666666666667</v>
      </c>
      <c r="D17" s="27" t="n">
        <f aca="false">IFERROR(AVERAGEIFS(Cleaning!$G$2:$G$500,Cleaning!$D$2:$D$500,A17,Cleaning!$L$2:$L$500,1),0)</f>
        <v>16.6666666666667</v>
      </c>
      <c r="E17" s="28" t="n">
        <f aca="false">IFERROR(AVERAGEIFS(Cleaning!$H$2:$H$500,Cleaning!$D$2:$D$500,A17,Cleaning!$L$2:$L$500,1),0)</f>
        <v>4.29411764705882</v>
      </c>
      <c r="G17" s="20" t="s">
        <v>65</v>
      </c>
      <c r="H17" s="19" t="n">
        <f aca="false">COUNTIFS(Cleaning!$F$2:$F$500,G17,Cleaning!$L$2:$L$500,1)</f>
        <v>11</v>
      </c>
      <c r="I17" s="26" t="n">
        <f aca="false">IF($H$18=0,0,H17/$H$18)</f>
        <v>0.0733333333333333</v>
      </c>
    </row>
    <row r="18" customFormat="false" ht="15" hidden="false" customHeight="false" outlineLevel="0" collapsed="false">
      <c r="A18" s="20" t="s">
        <v>117</v>
      </c>
      <c r="B18" s="19" t="n">
        <f aca="false">COUNTIFS(Cleaning!$D$2:$D$500,A18,Cleaning!$L$2:$L$500,1)</f>
        <v>25</v>
      </c>
      <c r="C18" s="26" t="n">
        <f aca="false">IF($B$21=0,0,B18/$B$21)</f>
        <v>0.166666666666667</v>
      </c>
      <c r="D18" s="27" t="n">
        <f aca="false">IFERROR(AVERAGEIFS(Cleaning!$G$2:$G$500,Cleaning!$D$2:$D$500,A18,Cleaning!$L$2:$L$500,1),0)</f>
        <v>19.9842105263158</v>
      </c>
      <c r="E18" s="28" t="n">
        <f aca="false">IFERROR(AVERAGEIFS(Cleaning!$H$2:$H$500,Cleaning!$D$2:$D$500,A18,Cleaning!$L$2:$L$500,1),0)</f>
        <v>4.26666666666667</v>
      </c>
      <c r="G18" s="4" t="s">
        <v>365</v>
      </c>
      <c r="H18" s="29" t="n">
        <f aca="false">SUM(H15:H17)</f>
        <v>150</v>
      </c>
      <c r="I18" s="30" t="n">
        <f aca="false">SUM(I15:I17)</f>
        <v>1</v>
      </c>
    </row>
    <row r="19" customFormat="false" ht="15" hidden="false" customHeight="false" outlineLevel="0" collapsed="false">
      <c r="A19" s="20" t="s">
        <v>111</v>
      </c>
      <c r="B19" s="19" t="n">
        <f aca="false">COUNTIFS(Cleaning!$D$2:$D$500,A19,Cleaning!$L$2:$L$500,1)</f>
        <v>28</v>
      </c>
      <c r="C19" s="26" t="n">
        <f aca="false">IF($B$21=0,0,B19/$B$21)</f>
        <v>0.186666666666667</v>
      </c>
      <c r="D19" s="27" t="n">
        <f aca="false">IFERROR(AVERAGEIFS(Cleaning!$G$2:$G$500,Cleaning!$D$2:$D$500,A19,Cleaning!$L$2:$L$500,1),0)</f>
        <v>17.32</v>
      </c>
      <c r="E19" s="28" t="n">
        <f aca="false">IFERROR(AVERAGEIFS(Cleaning!$H$2:$H$500,Cleaning!$D$2:$D$500,A19,Cleaning!$L$2:$L$500,1),0)</f>
        <v>4.16666666666667</v>
      </c>
    </row>
    <row r="20" customFormat="false" ht="15" hidden="false" customHeight="false" outlineLevel="0" collapsed="false">
      <c r="A20" s="20" t="s">
        <v>73</v>
      </c>
      <c r="B20" s="19" t="n">
        <f aca="false">COUNTIFS(Cleaning!$D$2:$D$500,A20,Cleaning!$L$2:$L$500,1)</f>
        <v>11</v>
      </c>
      <c r="C20" s="26" t="n">
        <f aca="false">IF($B$21=0,0,B20/$B$21)</f>
        <v>0.0733333333333333</v>
      </c>
      <c r="D20" s="27" t="n">
        <f aca="false">IFERROR(AVERAGEIFS(Cleaning!$G$2:$G$500,Cleaning!$D$2:$D$500,A20,Cleaning!$L$2:$L$500,1),0)</f>
        <v>17.6375</v>
      </c>
      <c r="E20" s="28" t="n">
        <f aca="false">IFERROR(AVERAGEIFS(Cleaning!$H$2:$H$500,Cleaning!$D$2:$D$500,A20,Cleaning!$L$2:$L$500,1),0)</f>
        <v>3.625</v>
      </c>
    </row>
    <row r="21" customFormat="false" ht="15" hidden="false" customHeight="false" outlineLevel="0" collapsed="false">
      <c r="A21" s="4" t="s">
        <v>365</v>
      </c>
      <c r="B21" s="29" t="n">
        <f aca="false">SUM(B16:B20)</f>
        <v>150</v>
      </c>
      <c r="C21" s="30" t="n">
        <f aca="false">SUM(C16:C20)</f>
        <v>1</v>
      </c>
      <c r="D21" s="31" t="n">
        <f aca="false">B9</f>
        <v>18.128813559322</v>
      </c>
      <c r="E21" s="32" t="n">
        <f aca="false">B10</f>
        <v>4.12264150943396</v>
      </c>
    </row>
    <row r="24" customFormat="false" ht="15" hidden="false" customHeight="false" outlineLevel="0" collapsed="false">
      <c r="A24" s="3" t="s">
        <v>372</v>
      </c>
    </row>
    <row r="25" customFormat="false" ht="15" hidden="false" customHeight="false" outlineLevel="0" collapsed="false">
      <c r="A25" s="9" t="s">
        <v>54</v>
      </c>
      <c r="B25" s="9" t="s">
        <v>354</v>
      </c>
      <c r="C25" s="9" t="s">
        <v>70</v>
      </c>
      <c r="D25" s="9" t="s">
        <v>370</v>
      </c>
      <c r="E25" s="9" t="s">
        <v>371</v>
      </c>
    </row>
    <row r="26" customFormat="false" ht="15" hidden="false" customHeight="false" outlineLevel="0" collapsed="false">
      <c r="A26" s="20" t="s">
        <v>105</v>
      </c>
      <c r="B26" s="19" t="n">
        <f aca="false">COUNTIFS(Cleaning!$C$2:$C$500,A26,Cleaning!$L$2:$L$500,1)</f>
        <v>39</v>
      </c>
      <c r="C26" s="19" t="n">
        <f aca="false">COUNTIFS(Cleaning!$C$2:$C$500,A26,Cleaning!$F$2:$F$500,"Resolved",Cleaning!$L$2:$L$500,1)</f>
        <v>34</v>
      </c>
      <c r="D26" s="27" t="n">
        <f aca="false">IFERROR(AVERAGEIFS(Cleaning!$G$2:$G$500,Cleaning!$C$2:$C$500,A26,Cleaning!$L$2:$L$500,1),0)</f>
        <v>17.3333333333333</v>
      </c>
      <c r="E26" s="28" t="n">
        <f aca="false">IFERROR(AVERAGEIFS(Cleaning!$H$2:$H$500,Cleaning!$C$2:$C$500,A26,Cleaning!$L$2:$L$500,1),0)</f>
        <v>4.10714285714286</v>
      </c>
    </row>
    <row r="27" customFormat="false" ht="15" hidden="false" customHeight="false" outlineLevel="0" collapsed="false">
      <c r="A27" s="20" t="s">
        <v>135</v>
      </c>
      <c r="B27" s="19" t="n">
        <f aca="false">COUNTIFS(Cleaning!$C$2:$C$500,A27,Cleaning!$L$2:$L$500,1)</f>
        <v>23</v>
      </c>
      <c r="C27" s="19" t="n">
        <f aca="false">COUNTIFS(Cleaning!$C$2:$C$500,A27,Cleaning!$F$2:$F$500,"Resolved",Cleaning!$L$2:$L$500,1)</f>
        <v>21</v>
      </c>
      <c r="D27" s="27" t="n">
        <f aca="false">IFERROR(AVERAGEIFS(Cleaning!$G$2:$G$500,Cleaning!$C$2:$C$500,A27,Cleaning!$L$2:$L$500,1),0)</f>
        <v>14.875</v>
      </c>
      <c r="E27" s="28" t="n">
        <f aca="false">IFERROR(AVERAGEIFS(Cleaning!$H$2:$H$500,Cleaning!$C$2:$C$500,A27,Cleaning!$L$2:$L$500,1),0)</f>
        <v>4.23809523809524</v>
      </c>
    </row>
    <row r="28" customFormat="false" ht="15" hidden="false" customHeight="false" outlineLevel="0" collapsed="false">
      <c r="A28" s="20" t="s">
        <v>88</v>
      </c>
      <c r="B28" s="19" t="n">
        <f aca="false">COUNTIFS(Cleaning!$C$2:$C$500,A28,Cleaning!$L$2:$L$500,1)</f>
        <v>30</v>
      </c>
      <c r="C28" s="19" t="n">
        <f aca="false">COUNTIFS(Cleaning!$C$2:$C$500,A28,Cleaning!$F$2:$F$500,"Resolved",Cleaning!$L$2:$L$500,1)</f>
        <v>24</v>
      </c>
      <c r="D28" s="27" t="n">
        <f aca="false">IFERROR(AVERAGEIFS(Cleaning!$G$2:$G$500,Cleaning!$C$2:$C$500,A28,Cleaning!$L$2:$L$500,1),0)</f>
        <v>30.6</v>
      </c>
      <c r="E28" s="28" t="n">
        <f aca="false">IFERROR(AVERAGEIFS(Cleaning!$H$2:$H$500,Cleaning!$C$2:$C$500,A28,Cleaning!$L$2:$L$500,1),0)</f>
        <v>3.68421052631579</v>
      </c>
    </row>
    <row r="29" customFormat="false" ht="15" hidden="false" customHeight="false" outlineLevel="0" collapsed="false">
      <c r="A29" s="20" t="s">
        <v>123</v>
      </c>
      <c r="B29" s="19" t="n">
        <f aca="false">COUNTIFS(Cleaning!$C$2:$C$500,A29,Cleaning!$L$2:$L$500,1)</f>
        <v>31</v>
      </c>
      <c r="C29" s="19" t="n">
        <f aca="false">COUNTIFS(Cleaning!$C$2:$C$500,A29,Cleaning!$F$2:$F$500,"Resolved",Cleaning!$L$2:$L$500,1)</f>
        <v>24</v>
      </c>
      <c r="D29" s="27" t="n">
        <f aca="false">IFERROR(AVERAGEIFS(Cleaning!$G$2:$G$500,Cleaning!$C$2:$C$500,A29,Cleaning!$L$2:$L$500,1),0)</f>
        <v>16.3208333333333</v>
      </c>
      <c r="E29" s="28" t="n">
        <f aca="false">IFERROR(AVERAGEIFS(Cleaning!$H$2:$H$500,Cleaning!$C$2:$C$500,A29,Cleaning!$L$2:$L$500,1),0)</f>
        <v>4.28571428571429</v>
      </c>
    </row>
    <row r="30" customFormat="false" ht="15" hidden="false" customHeight="false" outlineLevel="0" collapsed="false">
      <c r="A30" s="20" t="s">
        <v>119</v>
      </c>
      <c r="B30" s="19" t="n">
        <f aca="false">COUNTIFS(Cleaning!$C$2:$C$500,A30,Cleaning!$L$2:$L$500,1)</f>
        <v>27</v>
      </c>
      <c r="C30" s="19" t="n">
        <f aca="false">COUNTIFS(Cleaning!$C$2:$C$500,A30,Cleaning!$F$2:$F$500,"Resolved",Cleaning!$L$2:$L$500,1)</f>
        <v>21</v>
      </c>
      <c r="D30" s="27" t="n">
        <f aca="false">IFERROR(AVERAGEIFS(Cleaning!$G$2:$G$500,Cleaning!$C$2:$C$500,A30,Cleaning!$L$2:$L$500,1),0)</f>
        <v>12.6666666666667</v>
      </c>
      <c r="E30" s="28" t="n">
        <f aca="false">IFERROR(AVERAGEIFS(Cleaning!$H$2:$H$500,Cleaning!$C$2:$C$500,A30,Cleaning!$L$2:$L$500,1),0)</f>
        <v>4.29411764705882</v>
      </c>
    </row>
    <row r="31" customFormat="false" ht="15" hidden="false" customHeight="false" outlineLevel="0" collapsed="false">
      <c r="A31" s="4" t="s">
        <v>365</v>
      </c>
      <c r="B31" s="29" t="n">
        <f aca="false">SUM(B26:B30)</f>
        <v>150</v>
      </c>
      <c r="C31" s="29" t="n">
        <f aca="false">SUM(C26:C30)</f>
        <v>124</v>
      </c>
      <c r="D31" s="31" t="n">
        <f aca="false">B9</f>
        <v>18.128813559322</v>
      </c>
      <c r="E31" s="32" t="n">
        <f aca="false">B10</f>
        <v>4.12264150943396</v>
      </c>
    </row>
    <row r="34" customFormat="false" ht="15" hidden="false" customHeight="false" outlineLevel="0" collapsed="false">
      <c r="A34" s="3" t="s">
        <v>373</v>
      </c>
    </row>
    <row r="35" customFormat="false" ht="15" hidden="false" customHeight="false" outlineLevel="0" collapsed="false">
      <c r="A35" s="9" t="s">
        <v>56</v>
      </c>
      <c r="B35" s="9" t="s">
        <v>354</v>
      </c>
      <c r="C35" s="9" t="s">
        <v>369</v>
      </c>
      <c r="D35" s="9" t="s">
        <v>370</v>
      </c>
    </row>
    <row r="36" customFormat="false" ht="15" hidden="false" customHeight="false" outlineLevel="0" collapsed="false">
      <c r="A36" s="20" t="s">
        <v>90</v>
      </c>
      <c r="B36" s="19" t="n">
        <f aca="false">COUNTIFS(Cleaning!$E$2:$E$500,A36,Cleaning!$L$2:$L$500,1)</f>
        <v>53</v>
      </c>
      <c r="C36" s="26" t="n">
        <f aca="false">IF($B$40=0,0,B36/$B$40)</f>
        <v>0.353333333333333</v>
      </c>
      <c r="D36" s="27" t="n">
        <f aca="false">IFERROR(AVERAGEIFS(Cleaning!$G$2:$G$500,Cleaning!$E$2:$E$500,A36,Cleaning!$L$2:$L$500,1),0)</f>
        <v>25.248717948718</v>
      </c>
    </row>
    <row r="37" customFormat="false" ht="15" hidden="false" customHeight="false" outlineLevel="0" collapsed="false">
      <c r="A37" s="20" t="s">
        <v>69</v>
      </c>
      <c r="B37" s="19" t="n">
        <f aca="false">COUNTIFS(Cleaning!$E$2:$E$500,A37,Cleaning!$L$2:$L$500,1)</f>
        <v>58</v>
      </c>
      <c r="C37" s="26" t="n">
        <f aca="false">IF($B$40=0,0,B37/$B$40)</f>
        <v>0.386666666666667</v>
      </c>
      <c r="D37" s="27" t="n">
        <f aca="false">IFERROR(AVERAGEIFS(Cleaning!$G$2:$G$500,Cleaning!$E$2:$E$500,A37,Cleaning!$L$2:$L$500,1),0)</f>
        <v>18.1244897959184</v>
      </c>
    </row>
    <row r="38" customFormat="false" ht="15" hidden="false" customHeight="false" outlineLevel="0" collapsed="false">
      <c r="A38" s="20" t="s">
        <v>157</v>
      </c>
      <c r="B38" s="19" t="n">
        <f aca="false">COUNTIFS(Cleaning!$E$2:$E$500,A38,Cleaning!$L$2:$L$500,1)</f>
        <v>28</v>
      </c>
      <c r="C38" s="26" t="n">
        <f aca="false">IF($B$40=0,0,B38/$B$40)</f>
        <v>0.186666666666667</v>
      </c>
      <c r="D38" s="27" t="n">
        <f aca="false">IFERROR(AVERAGEIFS(Cleaning!$G$2:$G$500,Cleaning!$E$2:$E$500,A38,Cleaning!$L$2:$L$500,1),0)</f>
        <v>10.0916666666667</v>
      </c>
    </row>
    <row r="39" customFormat="false" ht="15" hidden="false" customHeight="false" outlineLevel="0" collapsed="false">
      <c r="A39" s="20" t="s">
        <v>77</v>
      </c>
      <c r="B39" s="19" t="n">
        <f aca="false">COUNTIFS(Cleaning!$E$2:$E$500,A39,Cleaning!$L$2:$L$500,1)</f>
        <v>11</v>
      </c>
      <c r="C39" s="26" t="n">
        <f aca="false">IF($B$40=0,0,B39/$B$40)</f>
        <v>0.0733333333333333</v>
      </c>
      <c r="D39" s="27" t="n">
        <f aca="false">IFERROR(AVERAGEIFS(Cleaning!$G$2:$G$500,Cleaning!$E$2:$E$500,A39,Cleaning!$L$2:$L$500,1),0)</f>
        <v>4.03333333333333</v>
      </c>
    </row>
    <row r="40" customFormat="false" ht="15" hidden="false" customHeight="false" outlineLevel="0" collapsed="false">
      <c r="A40" s="4" t="s">
        <v>365</v>
      </c>
      <c r="B40" s="29" t="n">
        <f aca="false">SUM(B36:B39)</f>
        <v>150</v>
      </c>
      <c r="C40" s="30" t="n">
        <f aca="false">SUM(C36:C39)</f>
        <v>1</v>
      </c>
      <c r="D40" s="31" t="n">
        <f aca="false">B9</f>
        <v>18.128813559322</v>
      </c>
    </row>
  </sheetData>
  <conditionalFormatting sqref="B16:B20">
    <cfRule type="dataBar" priority="2">
      <dataBar showValue="1" minLength="10" maxLength="90">
        <cfvo type="num" val="0"/>
        <cfvo type="max" val="0"/>
        <color rgb="FF2A9D8F"/>
      </dataBar>
      <extLst>
        <ext xmlns:x14="http://schemas.microsoft.com/office/spreadsheetml/2009/9/main" uri="{B025F937-C7B1-47D3-B67F-A62EFF666E3E}">
          <x14:id>{65EA5B2D-F020-4CA2-B4D0-50A9AA3E158B}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EA5B2D-F020-4CA2-B4D0-50A9AA3E158B}">
            <x14:dataBar minLength="10" maxLength="90" axisPosition="none" gradient="true">
              <x14:cfvo type="num">
                <xm:f>0</xm:f>
              </x14:cfvo>
              <x14:cfvo type="max"/>
              <x14:negativeFillColor rgb="FF2A9D8F"/>
              <x14:axisColor rgb="FF000000"/>
            </x14:dataBar>
          </x14:cfRule>
          <xm:sqref>B16:B20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12" min="3" style="0" width="11"/>
    <col collapsed="false" customWidth="true" hidden="false" outlineLevel="0" max="13" min="13" style="0" width="2"/>
  </cols>
  <sheetData>
    <row r="1" customFormat="false" ht="22.05" hidden="false" customHeight="false" outlineLevel="0" collapsed="false">
      <c r="B1" s="1" t="str">
        <f aca="false">Brief!C6</f>
        <v>Monthly Customer Support Report</v>
      </c>
    </row>
    <row r="2" customFormat="false" ht="15" hidden="false" customHeight="false" outlineLevel="0" collapsed="false">
      <c r="B2" s="2" t="str">
        <f aca="false">"Period: "&amp;TEXT(Brief!C7,"d mmm yyyy")&amp;" to "&amp;TEXT(Brief!C8,"d mmm yyyy")&amp;"   |   Audience: "&amp;Brief!C9</f>
        <v>Period: 1 Sep 2026 to 30 Sep 2026   |   Audience: Head of Customer Support</v>
      </c>
    </row>
    <row r="3" customFormat="false" ht="15" hidden="false" customHeight="false" outlineLevel="0" collapsed="false">
      <c r="B3" s="2" t="str">
        <f aca="false">"Prepared by "&amp;Brief!C13&amp;"   |   Data: helpdesk export (sample data)"</f>
        <v>Prepared by Your name   |   Data: helpdesk export (sample data)</v>
      </c>
    </row>
    <row r="5" customFormat="false" ht="15" hidden="false" customHeight="false" outlineLevel="0" collapsed="false">
      <c r="B5" s="33" t="s">
        <v>374</v>
      </c>
      <c r="C5" s="34"/>
      <c r="D5" s="34"/>
      <c r="E5" s="34"/>
      <c r="F5" s="34"/>
      <c r="G5" s="34"/>
      <c r="H5" s="34"/>
      <c r="I5" s="34"/>
      <c r="J5" s="34"/>
      <c r="K5" s="34"/>
      <c r="L5" s="34"/>
    </row>
    <row r="6" customFormat="false" ht="30" hidden="false" customHeight="true" outlineLevel="0" collapsed="false">
      <c r="B6" s="35" t="str">
        <f aca="false">TEXT(Analysis!B4,"#,##0")&amp;" tickets were handled in the period and "&amp;TEXT(Analysis!B6,"0%")&amp;" were resolved. Average resolution time was "&amp;TEXT(Analysis!B9,"0.0")&amp;" hours against a target of "&amp;Brief!C18&amp;" hours ("&amp;IF(Analysis!B9&lt;=Brief!C18,"on target","above target")&amp;")."</f>
        <v>150 tickets were handled in the period and 83% were resolved. Average resolution time was 18.1 hours against a target of 24 hours (on target).</v>
      </c>
      <c r="C6" s="35"/>
      <c r="D6" s="35"/>
      <c r="E6" s="35"/>
      <c r="F6" s="35"/>
      <c r="G6" s="35"/>
      <c r="H6" s="35"/>
      <c r="I6" s="35"/>
      <c r="J6" s="35"/>
      <c r="K6" s="35"/>
      <c r="L6" s="35"/>
    </row>
    <row r="7" customFormat="false" ht="30" hidden="false" customHeight="true" outlineLevel="0" collapsed="false">
      <c r="B7" s="35" t="str">
        <f aca="false">"Customer satisfaction averaged "&amp;TEXT(Analysis!B10,"0.0")&amp;" out of 5, "&amp;IF(Analysis!B10&gt;=Brief!C19,"meeting","below")&amp;" the target of "&amp;TEXT(Brief!C19,"0.0")&amp;"."</f>
        <v>Customer satisfaction averaged 4.1 out of 5, meeting the target of 4.0.</v>
      </c>
      <c r="C7" s="35"/>
      <c r="D7" s="35"/>
      <c r="E7" s="35"/>
      <c r="F7" s="35"/>
      <c r="G7" s="35"/>
      <c r="H7" s="35"/>
      <c r="I7" s="35"/>
      <c r="J7" s="35"/>
      <c r="K7" s="35"/>
      <c r="L7" s="35"/>
    </row>
    <row r="8" customFormat="false" ht="30" hidden="false" customHeight="true" outlineLevel="0" collapsed="false">
      <c r="B8" s="35" t="str">
        <f aca="false">INDEX(Analysis!A16:A20,MATCH(MAX(Analysis!B16:B20),Analysis!B16:B20,0))&amp;" was the biggest ticket category, with "&amp;TEXT(MAX(Analysis!C16:C20),"0%")&amp;" of all tickets."</f>
        <v>Billing was the biggest ticket category, with 41% of all tickets.</v>
      </c>
      <c r="C8" s="35"/>
      <c r="D8" s="35"/>
      <c r="E8" s="35"/>
      <c r="F8" s="35"/>
      <c r="G8" s="35"/>
      <c r="H8" s="35"/>
      <c r="I8" s="35"/>
      <c r="J8" s="35"/>
      <c r="K8" s="35"/>
      <c r="L8" s="35"/>
    </row>
    <row r="10" customFormat="false" ht="15" hidden="false" customHeight="false" outlineLevel="0" collapsed="false">
      <c r="B10" s="36" t="s">
        <v>354</v>
      </c>
      <c r="C10" s="36"/>
      <c r="D10" s="36" t="s">
        <v>358</v>
      </c>
      <c r="E10" s="36"/>
      <c r="F10" s="36" t="s">
        <v>375</v>
      </c>
      <c r="G10" s="36"/>
      <c r="H10" s="36" t="s">
        <v>376</v>
      </c>
      <c r="I10" s="36"/>
      <c r="J10" s="36" t="s">
        <v>65</v>
      </c>
      <c r="K10" s="36"/>
    </row>
    <row r="11" customFormat="false" ht="33.75" hidden="false" customHeight="true" outlineLevel="0" collapsed="false">
      <c r="B11" s="37" t="n">
        <f aca="false">Analysis!B4</f>
        <v>150</v>
      </c>
      <c r="C11" s="37"/>
      <c r="D11" s="38" t="n">
        <f aca="false">Analysis!B6</f>
        <v>0.826666666666667</v>
      </c>
      <c r="E11" s="38"/>
      <c r="F11" s="39" t="n">
        <f aca="false">Analysis!B9</f>
        <v>18.128813559322</v>
      </c>
      <c r="G11" s="39"/>
      <c r="H11" s="40" t="n">
        <f aca="false">Analysis!B10</f>
        <v>4.12264150943396</v>
      </c>
      <c r="I11" s="40"/>
      <c r="J11" s="37" t="n">
        <f aca="false">Analysis!B8</f>
        <v>11</v>
      </c>
      <c r="K11" s="37"/>
    </row>
    <row r="13" customFormat="false" ht="15" hidden="false" customHeight="false" outlineLevel="0" collapsed="false">
      <c r="B13" s="33" t="s">
        <v>377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</row>
    <row r="30" customFormat="false" ht="15" hidden="false" customHeight="false" outlineLevel="0" collapsed="false">
      <c r="B30" s="33" t="s">
        <v>378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</row>
    <row r="31" customFormat="false" ht="15" hidden="false" customHeight="false" outlineLevel="0" collapsed="false">
      <c r="B31" s="9" t="s">
        <v>54</v>
      </c>
      <c r="C31" s="9" t="s">
        <v>354</v>
      </c>
      <c r="D31" s="9" t="s">
        <v>70</v>
      </c>
      <c r="E31" s="9" t="s">
        <v>370</v>
      </c>
      <c r="F31" s="9" t="s">
        <v>371</v>
      </c>
      <c r="H31" s="9" t="s">
        <v>56</v>
      </c>
      <c r="I31" s="9" t="s">
        <v>354</v>
      </c>
      <c r="J31" s="9" t="s">
        <v>369</v>
      </c>
      <c r="K31" s="9" t="s">
        <v>370</v>
      </c>
    </row>
    <row r="32" customFormat="false" ht="15" hidden="false" customHeight="false" outlineLevel="0" collapsed="false">
      <c r="B32" s="41" t="str">
        <f aca="false">Analysis!A26</f>
        <v>Maya Patel</v>
      </c>
      <c r="C32" s="42" t="n">
        <f aca="false">Analysis!B26</f>
        <v>39</v>
      </c>
      <c r="D32" s="42" t="n">
        <f aca="false">Analysis!C26</f>
        <v>34</v>
      </c>
      <c r="E32" s="43" t="n">
        <f aca="false">Analysis!D26</f>
        <v>17.3333333333333</v>
      </c>
      <c r="F32" s="44" t="n">
        <f aca="false">Analysis!E26</f>
        <v>4.10714285714286</v>
      </c>
      <c r="H32" s="41" t="str">
        <f aca="false">Analysis!A36</f>
        <v>Low</v>
      </c>
      <c r="I32" s="42" t="n">
        <f aca="false">Analysis!B36</f>
        <v>53</v>
      </c>
      <c r="J32" s="45" t="n">
        <f aca="false">Analysis!C36</f>
        <v>0.353333333333333</v>
      </c>
      <c r="K32" s="43" t="n">
        <f aca="false">Analysis!D36</f>
        <v>25.248717948718</v>
      </c>
    </row>
    <row r="33" customFormat="false" ht="15" hidden="false" customHeight="false" outlineLevel="0" collapsed="false">
      <c r="B33" s="41" t="str">
        <f aca="false">Analysis!A27</f>
        <v>Liam O'Brien</v>
      </c>
      <c r="C33" s="42" t="n">
        <f aca="false">Analysis!B27</f>
        <v>23</v>
      </c>
      <c r="D33" s="42" t="n">
        <f aca="false">Analysis!C27</f>
        <v>21</v>
      </c>
      <c r="E33" s="43" t="n">
        <f aca="false">Analysis!D27</f>
        <v>14.875</v>
      </c>
      <c r="F33" s="44" t="n">
        <f aca="false">Analysis!E27</f>
        <v>4.23809523809524</v>
      </c>
      <c r="H33" s="41" t="str">
        <f aca="false">Analysis!A37</f>
        <v>Medium</v>
      </c>
      <c r="I33" s="42" t="n">
        <f aca="false">Analysis!B37</f>
        <v>58</v>
      </c>
      <c r="J33" s="45" t="n">
        <f aca="false">Analysis!C37</f>
        <v>0.386666666666667</v>
      </c>
      <c r="K33" s="43" t="n">
        <f aca="false">Analysis!D37</f>
        <v>18.1244897959184</v>
      </c>
    </row>
    <row r="34" customFormat="false" ht="15" hidden="false" customHeight="false" outlineLevel="0" collapsed="false">
      <c r="B34" s="41" t="str">
        <f aca="false">Analysis!A28</f>
        <v>Sofia Rossi</v>
      </c>
      <c r="C34" s="42" t="n">
        <f aca="false">Analysis!B28</f>
        <v>30</v>
      </c>
      <c r="D34" s="42" t="n">
        <f aca="false">Analysis!C28</f>
        <v>24</v>
      </c>
      <c r="E34" s="43" t="n">
        <f aca="false">Analysis!D28</f>
        <v>30.6</v>
      </c>
      <c r="F34" s="44" t="n">
        <f aca="false">Analysis!E28</f>
        <v>3.68421052631579</v>
      </c>
      <c r="H34" s="41" t="str">
        <f aca="false">Analysis!A38</f>
        <v>High</v>
      </c>
      <c r="I34" s="42" t="n">
        <f aca="false">Analysis!B38</f>
        <v>28</v>
      </c>
      <c r="J34" s="45" t="n">
        <f aca="false">Analysis!C38</f>
        <v>0.186666666666667</v>
      </c>
      <c r="K34" s="43" t="n">
        <f aca="false">Analysis!D38</f>
        <v>10.0916666666667</v>
      </c>
    </row>
    <row r="35" customFormat="false" ht="15" hidden="false" customHeight="false" outlineLevel="0" collapsed="false">
      <c r="B35" s="41" t="str">
        <f aca="false">Analysis!A29</f>
        <v>Noah Kim</v>
      </c>
      <c r="C35" s="42" t="n">
        <f aca="false">Analysis!B29</f>
        <v>31</v>
      </c>
      <c r="D35" s="42" t="n">
        <f aca="false">Analysis!C29</f>
        <v>24</v>
      </c>
      <c r="E35" s="43" t="n">
        <f aca="false">Analysis!D29</f>
        <v>16.3208333333333</v>
      </c>
      <c r="F35" s="44" t="n">
        <f aca="false">Analysis!E29</f>
        <v>4.28571428571429</v>
      </c>
      <c r="H35" s="41" t="str">
        <f aca="false">Analysis!A39</f>
        <v>Urgent</v>
      </c>
      <c r="I35" s="42" t="n">
        <f aca="false">Analysis!B39</f>
        <v>11</v>
      </c>
      <c r="J35" s="45" t="n">
        <f aca="false">Analysis!C39</f>
        <v>0.0733333333333333</v>
      </c>
      <c r="K35" s="43" t="n">
        <f aca="false">Analysis!D39</f>
        <v>4.03333333333333</v>
      </c>
    </row>
    <row r="36" customFormat="false" ht="15" hidden="false" customHeight="false" outlineLevel="0" collapsed="false">
      <c r="B36" s="41" t="str">
        <f aca="false">Analysis!A30</f>
        <v>Ava Johnson</v>
      </c>
      <c r="C36" s="42" t="n">
        <f aca="false">Analysis!B30</f>
        <v>27</v>
      </c>
      <c r="D36" s="42" t="n">
        <f aca="false">Analysis!C30</f>
        <v>21</v>
      </c>
      <c r="E36" s="43" t="n">
        <f aca="false">Analysis!D30</f>
        <v>12.6666666666667</v>
      </c>
      <c r="F36" s="44" t="n">
        <f aca="false">Analysis!E30</f>
        <v>4.29411764705882</v>
      </c>
    </row>
    <row r="38" customFormat="false" ht="15" hidden="false" customHeight="false" outlineLevel="0" collapsed="false">
      <c r="B38" s="33" t="s">
        <v>379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</row>
    <row r="39" customFormat="false" ht="18" hidden="false" customHeight="true" outlineLevel="0" collapsed="false">
      <c r="B39" s="35" t="str">
        <f aca="false">"Busiest week: "&amp;INDEX(Analysis!H5:H9,MATCH(MAX(Analysis!I5:I9),Analysis!I5:I9,0))&amp;" with "&amp;MAX(Analysis!I5:I9)&amp;" tickets."</f>
        <v>Busiest week: 1 Sep - 7 Sep with 43 tickets.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</row>
    <row r="40" customFormat="false" ht="18" hidden="false" customHeight="true" outlineLevel="0" collapsed="false">
      <c r="B40" s="35" t="str">
        <f aca="false">"Fastest agent: "&amp;INDEX(Analysis!A26:A30,MATCH(MIN(Analysis!D26:D30),Analysis!D26:D30,0))&amp;" ("&amp;TEXT(MIN(Analysis!D26:D30),"0.0")&amp;" hours on average)."</f>
        <v>Fastest agent: Ava Johnson (12.7 hours on average).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</row>
    <row r="41" customFormat="false" ht="18" hidden="false" customHeight="true" outlineLevel="0" collapsed="false">
      <c r="B41" s="35" t="str">
        <f aca="false">"Highest satisfaction: "&amp;INDEX(Analysis!A26:A30,MATCH(MAX(Analysis!E26:E30),Analysis!E26:E30,0))&amp;" ("&amp;TEXT(MAX(Analysis!E26:E30),"0.00")&amp;" out of 5)."</f>
        <v>Highest satisfaction: Ava Johnson (4.29 out of 5).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</row>
    <row r="42" customFormat="false" ht="18" hidden="false" customHeight="true" outlineLevel="0" collapsed="false">
      <c r="B42" s="35" t="str">
        <f aca="false">"High and Urgent tickets made up "&amp;TEXT(Analysis!B11,"0%")&amp;" of volume."</f>
        <v>High and Urgent tickets made up 26% of volume.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</row>
    <row r="43" customFormat="false" ht="18" hidden="false" customHeight="true" outlineLevel="0" collapsed="false">
      <c r="B43" s="35" t="str">
        <f aca="false">(Analysis!B7+Analysis!B8)&amp;" tickets were still open or escalated at the end of the period."</f>
        <v>26 tickets were still open or escalated at the end of the period.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</row>
    <row r="45" customFormat="false" ht="15" hidden="false" customHeight="false" outlineLevel="0" collapsed="false">
      <c r="B45" s="33" t="s">
        <v>380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</row>
    <row r="46" customFormat="false" ht="30" hidden="false" customHeight="true" outlineLevel="0" collapsed="false">
      <c r="B46" s="35" t="str">
        <f aca="false">"1. Review the "&amp;INDEX(Analysis!A16:A20,MATCH(MAX(Analysis!B16:B20),Analysis!B16:B20,0))&amp;" process. It creates the most tickets, so fixing its root causes gives the biggest drop in volume."</f>
        <v>1. Review the Billing process. It creates the most tickets, so fixing its root causes gives the biggest drop in volume.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</row>
    <row r="47" customFormat="false" ht="30" hidden="false" customHeight="true" outlineLevel="0" collapsed="false">
      <c r="B47" s="35" t="str">
        <f aca="false">IF(Analysis!B9&gt;Brief!C18,"2. Resolution time is above target. Learn from "&amp;INDEX(Analysis!A26:A30,MATCH(MIN(Analysis!D26:D30),Analysis!D26:D30,0))&amp;", the fastest agent, and share their approach.","2. Resolution time is within target. Keep current staffing and share the fastest agent's approach with the team.")</f>
        <v>2. Resolution time is within target. Keep current staffing and share the fastest agent's approach with the team.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</row>
    <row r="48" customFormat="false" ht="18" hidden="false" customHeight="true" outlineLevel="0" collapsed="false">
      <c r="B48" s="35" t="str">
        <f aca="false">"3. Follow up the "&amp;Analysis!B8&amp;" escalated tickets and look for common causes."</f>
        <v>3. Follow up the 11 escalated tickets and look for common causes.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</row>
    <row r="49" customFormat="false" ht="30" hidden="false" customHeight="true" outlineLevel="0" collapsed="false">
      <c r="B49" s="35" t="str">
        <f aca="false">"4. Ask the helpdesk team to fix the export: "&amp;Checks!C7&amp;" duplicates and "&amp;(Checks!C9+Checks!C10)&amp;" missing or impossible resolution times needed manual cleaning."</f>
        <v>4. Ask the helpdesk team to fix the export: 6 duplicates and 6 missing or impossible resolution times needed manual cleaning.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</row>
    <row r="51" customFormat="false" ht="15" hidden="false" customHeight="false" outlineLevel="0" collapsed="false">
      <c r="B51" s="33" t="s">
        <v>381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customFormat="false" ht="30" hidden="false" customHeight="true" outlineLevel="0" collapsed="false">
      <c r="B52" s="35" t="str">
        <f aca="false">"Cleaning applied: "&amp;Checks!C7&amp;" duplicate tickets excluded, "&amp;Checks!C8&amp;" text dates converted, "&amp;Checks!C9&amp;" missing and "&amp;Checks!C10&amp;" impossible resolution times left out of averages, "&amp;Checks!C11&amp;" resolved tickets had no satisfaction score."</f>
        <v>Cleaning applied: 6 duplicate tickets excluded, 10 text dates converted, 4 missing and 2 impossible resolution times left out of averages, 18 resolved tickets had no satisfaction score.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</row>
    <row r="53" customFormat="false" ht="18" hidden="false" customHeight="true" outlineLevel="0" collapsed="false">
      <c r="B53" s="35" t="s">
        <v>382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</row>
    <row r="55" customFormat="false" ht="15" hidden="false" customHeight="false" outlineLevel="0" collapsed="false">
      <c r="B55" s="46" t="str">
        <f aca="false">"Quality checks: "&amp;Checks!C24</f>
        <v>Quality checks: ALL CHECKS PASS</v>
      </c>
    </row>
  </sheetData>
  <mergeCells count="24">
    <mergeCell ref="B6:L6"/>
    <mergeCell ref="B7:L7"/>
    <mergeCell ref="B8:L8"/>
    <mergeCell ref="B10:C10"/>
    <mergeCell ref="D10:E10"/>
    <mergeCell ref="F10:G10"/>
    <mergeCell ref="H10:I10"/>
    <mergeCell ref="J10:K10"/>
    <mergeCell ref="B11:C11"/>
    <mergeCell ref="D11:E11"/>
    <mergeCell ref="F11:G11"/>
    <mergeCell ref="H11:I11"/>
    <mergeCell ref="J11:K11"/>
    <mergeCell ref="B39:L39"/>
    <mergeCell ref="B40:L40"/>
    <mergeCell ref="B41:L41"/>
    <mergeCell ref="B42:L42"/>
    <mergeCell ref="B43:L43"/>
    <mergeCell ref="B46:L46"/>
    <mergeCell ref="B47:L47"/>
    <mergeCell ref="B48:L48"/>
    <mergeCell ref="B49:L49"/>
    <mergeCell ref="B52:L52"/>
    <mergeCell ref="B53:L53"/>
  </mergeCells>
  <conditionalFormatting sqref="F32:F36">
    <cfRule type="expression" priority="2" aboveAverage="0" equalAverage="0" bottom="0" percent="0" rank="0" text="" dxfId="0">
      <formula>F32&gt;=Brief!$C$19</formula>
    </cfRule>
    <cfRule type="expression" priority="3" aboveAverage="0" equalAverage="0" bottom="0" percent="0" rank="0" text="" dxfId="6">
      <formula>F32&lt;Brief!$C$19</formula>
    </cfRule>
  </conditionalFormatting>
  <conditionalFormatting sqref="E32:E36">
    <cfRule type="expression" priority="4" aboveAverage="0" equalAverage="0" bottom="0" percent="0" rank="0" text="" dxfId="0">
      <formula>E32&lt;=Brief!$C$18</formula>
    </cfRule>
    <cfRule type="expression" priority="5" aboveAverage="0" equalAverage="0" bottom="0" percent="0" rank="0" text="" dxfId="6">
      <formula>E32&gt;Brief!$C$18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2026-10-12T02:09:18Z</dcterms:created>
  <dc:creator>openpyxl</dc:creator>
  <dc:description/>
  <dc:language>en-US</dc:language>
  <cp:lastModifiedBy/>
  <dcterms:modified xsi:type="dcterms:W3CDTF">2026-10-12T02:09:21Z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